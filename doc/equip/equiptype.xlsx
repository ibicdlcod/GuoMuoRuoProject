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Sheet1!$A$2:$AG$95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<sst xmlns="http://schemas.openxmlformats.org/spreadsheetml/2006/main" count="108" uniqueCount="108">
  <si>
    <t xml:space="preserve">size</t>
  </si>
  <si>
    <t xml:space="preserve">ismaingun</t>
  </si>
  <si>
    <t xml:space="preserve">issecgun</t>
  </si>
  <si>
    <t xml:space="preserve">isflak</t>
  </si>
  <si>
    <t xml:space="preserve">issurface</t>
  </si>
  <si>
    <t xml:space="preserve">istorp</t>
  </si>
  <si>
    <t xml:space="preserve">isfighter</t>
  </si>
  <si>
    <t xml:space="preserve">istorpbombber</t>
  </si>
  <si>
    <t xml:space="preserve">isdivebomber</t>
  </si>
  <si>
    <t xml:space="preserve">isrecon</t>
  </si>
  <si>
    <t xml:space="preserve">ispatrol</t>
  </si>
  <si>
    <t xml:space="preserve">islb</t>
  </si>
  <si>
    <t xml:space="preserve">isnight</t>
  </si>
  <si>
    <t xml:space="preserve">isseaplane</t>
  </si>
  <si>
    <t xml:space="preserve">special</t>
  </si>
  <si>
    <t xml:space="preserve">AA-cannon</t>
  </si>
  <si>
    <t xml:space="preserve">AA-control-device</t>
  </si>
  <si>
    <t xml:space="preserve">AA-gun</t>
  </si>
  <si>
    <t xml:space="preserve">Aircraft-personnel</t>
  </si>
  <si>
    <t xml:space="preserve">Al-rocket</t>
  </si>
  <si>
    <t xml:space="preserve">Al-shell</t>
  </si>
  <si>
    <t xml:space="preserve">Ap-shell</t>
  </si>
  <si>
    <t xml:space="preserve">Attack-lb</t>
  </si>
  <si>
    <t xml:space="preserve">Attack-lb-big</t>
  </si>
  <si>
    <t xml:space="preserve">Attack-lb-fight</t>
  </si>
  <si>
    <t xml:space="preserve">Attack-lb-fight-jet</t>
  </si>
  <si>
    <t xml:space="preserve">Ballon</t>
  </si>
  <si>
    <t xml:space="preserve">Big-gun</t>
  </si>
  <si>
    <t xml:space="preserve">Bomb-dive</t>
  </si>
  <si>
    <t xml:space="preserve">Bomb-dive-fight</t>
  </si>
  <si>
    <t xml:space="preserve">Bomb-dive-fight-jet</t>
  </si>
  <si>
    <t xml:space="preserve">Bomb-dive-fight-n2</t>
  </si>
  <si>
    <t xml:space="preserve">Bomb-dive-fight-night</t>
  </si>
  <si>
    <t xml:space="preserve">Bomb-dive-n2</t>
  </si>
  <si>
    <t xml:space="preserve">Bomb-dive-night</t>
  </si>
  <si>
    <t xml:space="preserve">Bomb-dive-torp-fight</t>
  </si>
  <si>
    <t xml:space="preserve">Bomb-torp</t>
  </si>
  <si>
    <t xml:space="preserve">Bomb-torp-dive</t>
  </si>
  <si>
    <t xml:space="preserve">Bomb-torp-fight</t>
  </si>
  <si>
    <t xml:space="preserve">Bomb-torp-n2</t>
  </si>
  <si>
    <t xml:space="preserve">Bomb-torp-night</t>
  </si>
  <si>
    <t xml:space="preserve">Bulge-large</t>
  </si>
  <si>
    <t xml:space="preserve">Bulge-medium</t>
  </si>
  <si>
    <t xml:space="preserve">Bulge-small</t>
  </si>
  <si>
    <t xml:space="preserve">Command-fac</t>
  </si>
  <si>
    <t xml:space="preserve">Depthc-projector</t>
  </si>
  <si>
    <t xml:space="preserve">Depthc-racks</t>
  </si>
  <si>
    <t xml:space="preserve">Drum</t>
  </si>
  <si>
    <t xml:space="preserve">Engine-boiler</t>
  </si>
  <si>
    <t xml:space="preserve">Engine-turbine</t>
  </si>
  <si>
    <t xml:space="preserve">Fighter</t>
  </si>
  <si>
    <t xml:space="preserve">Fighter-jet</t>
  </si>
  <si>
    <t xml:space="preserve">Fighter-lb</t>
  </si>
  <si>
    <t xml:space="preserve">Fighter-lb-interc</t>
  </si>
  <si>
    <t xml:space="preserve">Fighter-night</t>
  </si>
  <si>
    <t xml:space="preserve">Flyingboat</t>
  </si>
  <si>
    <t xml:space="preserve">Food</t>
  </si>
  <si>
    <t xml:space="preserve">Land-corps</t>
  </si>
  <si>
    <t xml:space="preserve">Landing-craft</t>
  </si>
  <si>
    <t xml:space="preserve">Landing-tank</t>
  </si>
  <si>
    <t xml:space="preserve">Mid-gun-flak</t>
  </si>
  <si>
    <t xml:space="preserve">Mid-gun-flat</t>
  </si>
  <si>
    <t xml:space="preserve">Mid-gun-flat-ca</t>
  </si>
  <si>
    <t xml:space="preserve">Midget-sub</t>
  </si>
  <si>
    <t xml:space="preserve">Patrol-autogyro</t>
  </si>
  <si>
    <t xml:space="preserve">Patrol-lb</t>
  </si>
  <si>
    <t xml:space="preserve">Patrol-liaison</t>
  </si>
  <si>
    <t xml:space="preserve">Patrol-liaison-f</t>
  </si>
  <si>
    <t xml:space="preserve">Radar-big-dual</t>
  </si>
  <si>
    <t xml:space="preserve">Radar-big-flak</t>
  </si>
  <si>
    <t xml:space="preserve">Radar-big-flat</t>
  </si>
  <si>
    <t xml:space="preserve">Radar-small-dual</t>
  </si>
  <si>
    <t xml:space="preserve">Radar-small-flak</t>
  </si>
  <si>
    <t xml:space="preserve">Radar-small-flat</t>
  </si>
  <si>
    <t xml:space="preserve">Radar-sub</t>
  </si>
  <si>
    <t xml:space="preserve">Radar-superbig-dual</t>
  </si>
  <si>
    <t xml:space="preserve">Recon</t>
  </si>
  <si>
    <t xml:space="preserve">Recon-fight</t>
  </si>
  <si>
    <t xml:space="preserve">Recon-jet</t>
  </si>
  <si>
    <t xml:space="preserve">Recon-lb</t>
  </si>
  <si>
    <t xml:space="preserve">Repair-fac</t>
  </si>
  <si>
    <t xml:space="preserve">Repair-item</t>
  </si>
  <si>
    <t xml:space="preserve">Searchlight</t>
  </si>
  <si>
    <t xml:space="preserve">Searchlight-big</t>
  </si>
  <si>
    <t xml:space="preserve">Second-gun-flak</t>
  </si>
  <si>
    <t xml:space="preserve">Second-gun-flak-big</t>
  </si>
  <si>
    <t xml:space="preserve">Second-gun-flat</t>
  </si>
  <si>
    <t xml:space="preserve">Small-gun-flak</t>
  </si>
  <si>
    <t xml:space="preserve">Small-gun-flat</t>
  </si>
  <si>
    <t xml:space="preserve">Smoke</t>
  </si>
  <si>
    <t xml:space="preserve">Sonar-active</t>
  </si>
  <si>
    <t xml:space="preserve">Sonar-passive</t>
  </si>
  <si>
    <t xml:space="preserve">Sonar-passive-big</t>
  </si>
  <si>
    <t xml:space="preserve">Sp-bomb</t>
  </si>
  <si>
    <t xml:space="preserve">Sp-bomb-night</t>
  </si>
  <si>
    <t xml:space="preserve">Sp-bomb-small</t>
  </si>
  <si>
    <t xml:space="preserve">Sp-fight</t>
  </si>
  <si>
    <t xml:space="preserve">Sp-recon</t>
  </si>
  <si>
    <t xml:space="preserve">Sp-recon-night</t>
  </si>
  <si>
    <t xml:space="preserve">Sp-recon-small</t>
  </si>
  <si>
    <t xml:space="preserve">Starshell</t>
  </si>
  <si>
    <t xml:space="preserve">Superbig-gun</t>
  </si>
  <si>
    <t xml:space="preserve">Supremebig-gun</t>
  </si>
  <si>
    <t xml:space="preserve">Surface-personnel</t>
  </si>
  <si>
    <t xml:space="preserve">Torp</t>
  </si>
  <si>
    <t xml:space="preserve">Torp-sub</t>
  </si>
  <si>
    <t xml:space="preserve">Tp-material</t>
  </si>
  <si>
    <t xml:space="preserve">Underway-replenish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</si>
</sst>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H3" activePane="bottomRight" state="frozen"/>
      <selection pane="topLeft" activeCell="A1" activeCellId="0" sqref="A1"/>
      <selection pane="topRight" activeCell="H1" activeCellId="0" sqref="H1"/>
      <selection pane="bottomLeft" activeCell="A3" activeCellId="0" sqref="A3"/>
      <selection pane="bottomRight" activeCell="H25" activeCellId="0" sqref="H25"/>
    </sheetView>
  </sheetViews>
  <sheetFormatPr defaultColWidth="9.16796875" defaultRowHeight="13.5" customHeight="false" zeroHeight="false" outlineLevelRow="0" outlineLevelCol="0"/>
  <cols>
    <col collapsed="false" customWidth="true" hidden="false" outlineLevel="0" max="1" min="1" style="1" width="27.66"/>
    <col collapsed="false" customWidth="true" hidden="false" outlineLevel="0" max="2" min="2" style="1" width="4.16"/>
    <col collapsed="false" customWidth="true" hidden="false" outlineLevel="0" max="3" min="3" style="1" width="9.58"/>
    <col collapsed="false" customWidth="true" hidden="false" outlineLevel="0" max="4" min="4" style="1" width="8.16"/>
    <col collapsed="false" customWidth="true" hidden="false" outlineLevel="0" max="5" min="5" style="1" width="5.16"/>
    <col collapsed="false" customWidth="true" hidden="false" outlineLevel="0" max="6" min="6" style="1" width="8.25"/>
    <col collapsed="false" customWidth="true" hidden="false" outlineLevel="0" max="7" min="7" style="1" width="5.84"/>
    <col collapsed="false" customWidth="true" hidden="false" outlineLevel="0" max="8" min="8" style="1" width="7.76"/>
    <col collapsed="false" customWidth="true" hidden="false" outlineLevel="0" max="9" min="9" style="1" width="13.83"/>
    <col collapsed="false" customWidth="true" hidden="false" outlineLevel="0" max="10" min="10" style="1" width="12.5"/>
    <col collapsed="false" customWidth="true" hidden="false" outlineLevel="0" max="11" min="11" style="1" width="7"/>
    <col collapsed="false" customWidth="true" hidden="false" outlineLevel="0" max="12" min="12" style="1" width="7.17"/>
    <col collapsed="false" customWidth="true" hidden="false" outlineLevel="0" max="13" min="13" style="1" width="3.84"/>
    <col collapsed="false" customWidth="true" hidden="false" outlineLevel="0" max="14" min="14" style="1" width="6.5"/>
    <col collapsed="false" customWidth="true" hidden="false" outlineLevel="0" max="15" min="15" style="1" width="9.67"/>
    <col collapsed="false" customWidth="true" hidden="false" outlineLevel="0" max="16" min="16" style="1" width="6.66"/>
    <col collapsed="false" customWidth="true" hidden="false" outlineLevel="0" max="17" min="17" style="1" width="2.08"/>
    <col collapsed="false" customWidth="true" hidden="false" outlineLevel="0" max="19" min="18" style="1" width="6.08"/>
    <col collapsed="false" customWidth="true" hidden="false" outlineLevel="0" max="23" min="20" style="1" width="5.08"/>
    <col collapsed="false" customWidth="true" hidden="false" outlineLevel="0" max="26" min="24" style="1" width="4.08"/>
    <col collapsed="false" customWidth="true" hidden="false" outlineLevel="0" max="29" min="27" style="1" width="3.08"/>
    <col collapsed="false" customWidth="true" hidden="false" outlineLevel="0" max="30" min="30" style="1" width="2.08"/>
    <col collapsed="false" customWidth="true" hidden="false" outlineLevel="0" max="32" min="31" style="1" width="8.08"/>
    <col collapsed="false" customWidth="true" hidden="false" outlineLevel="0" max="33" min="33" style="1" width="7.42"/>
    <col collapsed="false" customWidth="false" hidden="false" outlineLevel="0" max="16384" min="34" style="1" width="9.16"/>
  </cols>
  <sheetData>
    <row r="1" customFormat="false" ht="13.5" hidden="false" customHeight="false" outlineLevel="0" collapsed="false">
      <c r="B1" s="1" t="n">
        <v>1</v>
      </c>
      <c r="C1" s="1" t="n">
        <f aca="false">D1*2</f>
        <v>32768</v>
      </c>
      <c r="D1" s="1" t="n">
        <f aca="false">E1*2</f>
        <v>16384</v>
      </c>
      <c r="E1" s="1" t="n">
        <f aca="false">F1*2</f>
        <v>8192</v>
      </c>
      <c r="F1" s="1" t="n">
        <f aca="false">G1*2</f>
        <v>4096</v>
      </c>
      <c r="G1" s="1" t="n">
        <f aca="false">H1*2</f>
        <v>2048</v>
      </c>
      <c r="H1" s="1" t="n">
        <f aca="false">I1*2</f>
        <v>1024</v>
      </c>
      <c r="I1" s="1" t="n">
        <f aca="false">J1*2</f>
        <v>512</v>
      </c>
      <c r="J1" s="1" t="n">
        <f aca="false">K1*2</f>
        <v>256</v>
      </c>
      <c r="K1" s="1" t="n">
        <f aca="false">L1*2</f>
        <v>128</v>
      </c>
      <c r="L1" s="1" t="n">
        <f aca="false">M1*2</f>
        <v>64</v>
      </c>
      <c r="M1" s="1" t="n">
        <f aca="false">N1*2</f>
        <v>32</v>
      </c>
      <c r="N1" s="1" t="n">
        <f aca="false">O1*2</f>
        <v>16</v>
      </c>
      <c r="O1" s="1" t="n">
        <v>8</v>
      </c>
      <c r="P1" s="1" t="n">
        <v>65536</v>
      </c>
    </row>
    <row r="2" customFormat="false" ht="13.5" hidden="false" customHeight="false" outlineLevel="0" collapsed="false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</row>
    <row r="3" customFormat="false" ht="13.5" hidden="false" customHeight="false" outlineLevel="0" collapsed="false">
      <c r="A3" s="1" t="s">
        <v>15</v>
      </c>
      <c r="B3" s="1" t="n">
        <v>1</v>
      </c>
      <c r="E3" s="1" t="n">
        <v>1</v>
      </c>
      <c r="P3" s="1" t="n">
        <v>25</v>
      </c>
      <c r="Q3" s="1" t="n">
        <f aca="false">B3*B$1</f>
        <v>1</v>
      </c>
      <c r="R3" s="1" t="n">
        <f aca="false">C3*C$1</f>
        <v>0</v>
      </c>
      <c r="S3" s="1" t="n">
        <f aca="false">D3*D$1</f>
        <v>0</v>
      </c>
      <c r="T3" s="1" t="n">
        <f aca="false">E3*E$1</f>
        <v>8192</v>
      </c>
      <c r="U3" s="1" t="n">
        <f aca="false">F3*F$1</f>
        <v>0</v>
      </c>
      <c r="V3" s="1" t="n">
        <f aca="false">G3*G$1</f>
        <v>0</v>
      </c>
      <c r="W3" s="1" t="n">
        <f aca="false">H3*H$1</f>
        <v>0</v>
      </c>
      <c r="X3" s="1" t="n">
        <f aca="false">I3*I$1</f>
        <v>0</v>
      </c>
      <c r="Y3" s="1" t="n">
        <f aca="false">J3*J$1</f>
        <v>0</v>
      </c>
      <c r="Z3" s="1" t="n">
        <f aca="false">K3*K$1</f>
        <v>0</v>
      </c>
      <c r="AA3" s="1" t="n">
        <f aca="false">L3*L$1</f>
        <v>0</v>
      </c>
      <c r="AB3" s="1" t="n">
        <f aca="false">M3*M$1</f>
        <v>0</v>
      </c>
      <c r="AC3" s="1" t="n">
        <f aca="false">N3*N$1</f>
        <v>0</v>
      </c>
      <c r="AD3" s="1" t="n">
        <f aca="false">O3*O$1</f>
        <v>0</v>
      </c>
      <c r="AE3" s="1" t="n">
        <f aca="false">P3*P$1</f>
        <v>1638400</v>
      </c>
      <c r="AF3" s="1" t="n">
        <f aca="false">SUM(Q3:AE3)</f>
        <v>1646593</v>
      </c>
      <c r="AG3" s="1" t="str">
        <f aca="false">DEC2HEX(AF3)</f>
        <v>192001</v>
      </c>
    </row>
    <row r="4" customFormat="false" ht="13.5" hidden="false" customHeight="false" outlineLevel="0" collapsed="false">
      <c r="A4" s="1" t="s">
        <v>16</v>
      </c>
      <c r="E4" s="1" t="n">
        <v>1</v>
      </c>
      <c r="P4" s="1" t="n">
        <v>30</v>
      </c>
      <c r="Q4" s="1" t="n">
        <f aca="false">B4*B$1</f>
        <v>0</v>
      </c>
      <c r="R4" s="1" t="n">
        <f aca="false">C4*C$1</f>
        <v>0</v>
      </c>
      <c r="S4" s="1" t="n">
        <f aca="false">D4*D$1</f>
        <v>0</v>
      </c>
      <c r="T4" s="1" t="n">
        <f aca="false">E4*E$1</f>
        <v>8192</v>
      </c>
      <c r="U4" s="1" t="n">
        <f aca="false">F4*F$1</f>
        <v>0</v>
      </c>
      <c r="V4" s="1" t="n">
        <f aca="false">G4*G$1</f>
        <v>0</v>
      </c>
      <c r="W4" s="1" t="n">
        <f aca="false">H4*H$1</f>
        <v>0</v>
      </c>
      <c r="X4" s="1" t="n">
        <f aca="false">I4*I$1</f>
        <v>0</v>
      </c>
      <c r="Y4" s="1" t="n">
        <f aca="false">J4*J$1</f>
        <v>0</v>
      </c>
      <c r="Z4" s="1" t="n">
        <f aca="false">K4*K$1</f>
        <v>0</v>
      </c>
      <c r="AA4" s="1" t="n">
        <f aca="false">L4*L$1</f>
        <v>0</v>
      </c>
      <c r="AB4" s="1" t="n">
        <f aca="false">M4*M$1</f>
        <v>0</v>
      </c>
      <c r="AC4" s="1" t="n">
        <f aca="false">N4*N$1</f>
        <v>0</v>
      </c>
      <c r="AD4" s="1" t="n">
        <f aca="false">O4*O$1</f>
        <v>0</v>
      </c>
      <c r="AE4" s="1" t="n">
        <f aca="false">P4*P$1</f>
        <v>1966080</v>
      </c>
      <c r="AF4" s="1" t="n">
        <f aca="false">SUM(Q4:AE4)</f>
        <v>1974272</v>
      </c>
      <c r="AG4" s="1" t="str">
        <f aca="false">DEC2HEX(AF4)</f>
        <v>1E2000</v>
      </c>
    </row>
    <row r="5" customFormat="false" ht="13.5" hidden="false" customHeight="false" outlineLevel="0" collapsed="false">
      <c r="A5" s="1" t="s">
        <v>17</v>
      </c>
      <c r="E5" s="1" t="n">
        <v>1</v>
      </c>
      <c r="P5" s="1" t="n">
        <v>25</v>
      </c>
      <c r="Q5" s="1" t="n">
        <f aca="false">B5*B$1</f>
        <v>0</v>
      </c>
      <c r="R5" s="1" t="n">
        <f aca="false">C5*C$1</f>
        <v>0</v>
      </c>
      <c r="S5" s="1" t="n">
        <f aca="false">D5*D$1</f>
        <v>0</v>
      </c>
      <c r="T5" s="1" t="n">
        <f aca="false">E5*E$1</f>
        <v>8192</v>
      </c>
      <c r="U5" s="1" t="n">
        <f aca="false">F5*F$1</f>
        <v>0</v>
      </c>
      <c r="V5" s="1" t="n">
        <f aca="false">G5*G$1</f>
        <v>0</v>
      </c>
      <c r="W5" s="1" t="n">
        <f aca="false">H5*H$1</f>
        <v>0</v>
      </c>
      <c r="X5" s="1" t="n">
        <f aca="false">I5*I$1</f>
        <v>0</v>
      </c>
      <c r="Y5" s="1" t="n">
        <f aca="false">J5*J$1</f>
        <v>0</v>
      </c>
      <c r="Z5" s="1" t="n">
        <f aca="false">K5*K$1</f>
        <v>0</v>
      </c>
      <c r="AA5" s="1" t="n">
        <f aca="false">L5*L$1</f>
        <v>0</v>
      </c>
      <c r="AB5" s="1" t="n">
        <f aca="false">M5*M$1</f>
        <v>0</v>
      </c>
      <c r="AC5" s="1" t="n">
        <f aca="false">N5*N$1</f>
        <v>0</v>
      </c>
      <c r="AD5" s="1" t="n">
        <f aca="false">O5*O$1</f>
        <v>0</v>
      </c>
      <c r="AE5" s="1" t="n">
        <f aca="false">P5*P$1</f>
        <v>1638400</v>
      </c>
      <c r="AF5" s="1" t="n">
        <f aca="false">SUM(Q5:AE5)</f>
        <v>1646592</v>
      </c>
      <c r="AG5" s="1" t="str">
        <f aca="false">DEC2HEX(AF5)</f>
        <v>192000</v>
      </c>
    </row>
    <row r="6" customFormat="false" ht="13.5" hidden="false" customHeight="false" outlineLevel="0" collapsed="false">
      <c r="A6" s="1" t="s">
        <v>18</v>
      </c>
      <c r="P6" s="1" t="n">
        <v>21</v>
      </c>
      <c r="Q6" s="1" t="n">
        <f aca="false">B6*B$1</f>
        <v>0</v>
      </c>
      <c r="R6" s="1" t="n">
        <f aca="false">C6*C$1</f>
        <v>0</v>
      </c>
      <c r="S6" s="1" t="n">
        <f aca="false">D6*D$1</f>
        <v>0</v>
      </c>
      <c r="T6" s="1" t="n">
        <f aca="false">E6*E$1</f>
        <v>0</v>
      </c>
      <c r="U6" s="1" t="n">
        <f aca="false">F6*F$1</f>
        <v>0</v>
      </c>
      <c r="V6" s="1" t="n">
        <f aca="false">G6*G$1</f>
        <v>0</v>
      </c>
      <c r="W6" s="1" t="n">
        <f aca="false">H6*H$1</f>
        <v>0</v>
      </c>
      <c r="X6" s="1" t="n">
        <f aca="false">I6*I$1</f>
        <v>0</v>
      </c>
      <c r="Y6" s="1" t="n">
        <f aca="false">J6*J$1</f>
        <v>0</v>
      </c>
      <c r="Z6" s="1" t="n">
        <f aca="false">K6*K$1</f>
        <v>0</v>
      </c>
      <c r="AA6" s="1" t="n">
        <f aca="false">L6*L$1</f>
        <v>0</v>
      </c>
      <c r="AB6" s="1" t="n">
        <f aca="false">M6*M$1</f>
        <v>0</v>
      </c>
      <c r="AC6" s="1" t="n">
        <f aca="false">N6*N$1</f>
        <v>0</v>
      </c>
      <c r="AD6" s="1" t="n">
        <f aca="false">O6*O$1</f>
        <v>0</v>
      </c>
      <c r="AE6" s="1" t="n">
        <f aca="false">P6*P$1</f>
        <v>1376256</v>
      </c>
      <c r="AF6" s="1" t="n">
        <f aca="false">SUM(Q6:AE6)</f>
        <v>1376256</v>
      </c>
      <c r="AG6" s="1" t="str">
        <f aca="false">DEC2HEX(AF6)</f>
        <v>150000</v>
      </c>
    </row>
    <row r="7" customFormat="false" ht="13.5" hidden="false" customHeight="false" outlineLevel="0" collapsed="false">
      <c r="A7" s="1" t="s">
        <v>19</v>
      </c>
      <c r="P7" s="1" t="n">
        <v>8</v>
      </c>
      <c r="Q7" s="1" t="n">
        <f aca="false">B7*B$1</f>
        <v>0</v>
      </c>
      <c r="R7" s="1" t="n">
        <f aca="false">C7*C$1</f>
        <v>0</v>
      </c>
      <c r="S7" s="1" t="n">
        <f aca="false">D7*D$1</f>
        <v>0</v>
      </c>
      <c r="T7" s="1" t="n">
        <f aca="false">E7*E$1</f>
        <v>0</v>
      </c>
      <c r="U7" s="1" t="n">
        <f aca="false">F7*F$1</f>
        <v>0</v>
      </c>
      <c r="V7" s="1" t="n">
        <f aca="false">G7*G$1</f>
        <v>0</v>
      </c>
      <c r="W7" s="1" t="n">
        <f aca="false">H7*H$1</f>
        <v>0</v>
      </c>
      <c r="X7" s="1" t="n">
        <f aca="false">I7*I$1</f>
        <v>0</v>
      </c>
      <c r="Y7" s="1" t="n">
        <f aca="false">J7*J$1</f>
        <v>0</v>
      </c>
      <c r="Z7" s="1" t="n">
        <f aca="false">K7*K$1</f>
        <v>0</v>
      </c>
      <c r="AA7" s="1" t="n">
        <f aca="false">L7*L$1</f>
        <v>0</v>
      </c>
      <c r="AB7" s="1" t="n">
        <f aca="false">M7*M$1</f>
        <v>0</v>
      </c>
      <c r="AC7" s="1" t="n">
        <f aca="false">N7*N$1</f>
        <v>0</v>
      </c>
      <c r="AD7" s="1" t="n">
        <f aca="false">O7*O$1</f>
        <v>0</v>
      </c>
      <c r="AE7" s="1" t="n">
        <f aca="false">P7*P$1</f>
        <v>524288</v>
      </c>
      <c r="AF7" s="1" t="n">
        <f aca="false">SUM(Q7:AE7)</f>
        <v>524288</v>
      </c>
      <c r="AG7" s="1" t="str">
        <f aca="false">DEC2HEX(AF7)</f>
        <v>80000</v>
      </c>
    </row>
    <row r="8" customFormat="false" ht="13.5" hidden="false" customHeight="false" outlineLevel="0" collapsed="false">
      <c r="A8" s="1" t="s">
        <v>20</v>
      </c>
      <c r="P8" s="1" t="n">
        <v>7</v>
      </c>
      <c r="Q8" s="1" t="n">
        <f aca="false">B8*B$1</f>
        <v>0</v>
      </c>
      <c r="R8" s="1" t="n">
        <f aca="false">C8*C$1</f>
        <v>0</v>
      </c>
      <c r="S8" s="1" t="n">
        <f aca="false">D8*D$1</f>
        <v>0</v>
      </c>
      <c r="T8" s="1" t="n">
        <f aca="false">E8*E$1</f>
        <v>0</v>
      </c>
      <c r="U8" s="1" t="n">
        <f aca="false">F8*F$1</f>
        <v>0</v>
      </c>
      <c r="V8" s="1" t="n">
        <f aca="false">G8*G$1</f>
        <v>0</v>
      </c>
      <c r="W8" s="1" t="n">
        <f aca="false">H8*H$1</f>
        <v>0</v>
      </c>
      <c r="X8" s="1" t="n">
        <f aca="false">I8*I$1</f>
        <v>0</v>
      </c>
      <c r="Y8" s="1" t="n">
        <f aca="false">J8*J$1</f>
        <v>0</v>
      </c>
      <c r="Z8" s="1" t="n">
        <f aca="false">K8*K$1</f>
        <v>0</v>
      </c>
      <c r="AA8" s="1" t="n">
        <f aca="false">L8*L$1</f>
        <v>0</v>
      </c>
      <c r="AB8" s="1" t="n">
        <f aca="false">M8*M$1</f>
        <v>0</v>
      </c>
      <c r="AC8" s="1" t="n">
        <f aca="false">N8*N$1</f>
        <v>0</v>
      </c>
      <c r="AD8" s="1" t="n">
        <f aca="false">O8*O$1</f>
        <v>0</v>
      </c>
      <c r="AE8" s="1" t="n">
        <f aca="false">P8*P$1</f>
        <v>458752</v>
      </c>
      <c r="AF8" s="1" t="n">
        <f aca="false">SUM(Q8:AE8)</f>
        <v>458752</v>
      </c>
      <c r="AG8" s="1" t="str">
        <f aca="false">DEC2HEX(AF8)</f>
        <v>70000</v>
      </c>
    </row>
    <row r="9" customFormat="false" ht="13.5" hidden="false" customHeight="false" outlineLevel="0" collapsed="false">
      <c r="A9" s="1" t="s">
        <v>21</v>
      </c>
      <c r="P9" s="1" t="n">
        <v>6</v>
      </c>
      <c r="Q9" s="1" t="n">
        <f aca="false">B9*B$1</f>
        <v>0</v>
      </c>
      <c r="R9" s="1" t="n">
        <f aca="false">C9*C$1</f>
        <v>0</v>
      </c>
      <c r="S9" s="1" t="n">
        <f aca="false">D9*D$1</f>
        <v>0</v>
      </c>
      <c r="T9" s="1" t="n">
        <f aca="false">E9*E$1</f>
        <v>0</v>
      </c>
      <c r="U9" s="1" t="n">
        <f aca="false">F9*F$1</f>
        <v>0</v>
      </c>
      <c r="V9" s="1" t="n">
        <f aca="false">G9*G$1</f>
        <v>0</v>
      </c>
      <c r="W9" s="1" t="n">
        <f aca="false">H9*H$1</f>
        <v>0</v>
      </c>
      <c r="X9" s="1" t="n">
        <f aca="false">I9*I$1</f>
        <v>0</v>
      </c>
      <c r="Y9" s="1" t="n">
        <f aca="false">J9*J$1</f>
        <v>0</v>
      </c>
      <c r="Z9" s="1" t="n">
        <f aca="false">K9*K$1</f>
        <v>0</v>
      </c>
      <c r="AA9" s="1" t="n">
        <f aca="false">L9*L$1</f>
        <v>0</v>
      </c>
      <c r="AB9" s="1" t="n">
        <f aca="false">M9*M$1</f>
        <v>0</v>
      </c>
      <c r="AC9" s="1" t="n">
        <f aca="false">N9*N$1</f>
        <v>0</v>
      </c>
      <c r="AD9" s="1" t="n">
        <f aca="false">O9*O$1</f>
        <v>0</v>
      </c>
      <c r="AE9" s="1" t="n">
        <f aca="false">P9*P$1</f>
        <v>393216</v>
      </c>
      <c r="AF9" s="1" t="n">
        <f aca="false">SUM(Q9:AE9)</f>
        <v>393216</v>
      </c>
      <c r="AG9" s="1" t="str">
        <f aca="false">DEC2HEX(AF9)</f>
        <v>60000</v>
      </c>
    </row>
    <row r="10" customFormat="false" ht="13.5" hidden="false" customHeight="false" outlineLevel="0" collapsed="false">
      <c r="A10" s="1" t="s">
        <v>22</v>
      </c>
      <c r="I10" s="1" t="n">
        <v>1</v>
      </c>
      <c r="J10" s="1" t="n">
        <v>1</v>
      </c>
      <c r="M10" s="1" t="n">
        <v>1</v>
      </c>
      <c r="Q10" s="1" t="n">
        <f aca="false">B10*B$1</f>
        <v>0</v>
      </c>
      <c r="R10" s="1" t="n">
        <f aca="false">C10*C$1</f>
        <v>0</v>
      </c>
      <c r="S10" s="1" t="n">
        <f aca="false">D10*D$1</f>
        <v>0</v>
      </c>
      <c r="T10" s="1" t="n">
        <f aca="false">E10*E$1</f>
        <v>0</v>
      </c>
      <c r="U10" s="1" t="n">
        <f aca="false">F10*F$1</f>
        <v>0</v>
      </c>
      <c r="V10" s="1" t="n">
        <f aca="false">G10*G$1</f>
        <v>0</v>
      </c>
      <c r="W10" s="1" t="n">
        <f aca="false">H10*H$1</f>
        <v>0</v>
      </c>
      <c r="X10" s="1" t="n">
        <f aca="false">I10*I$1</f>
        <v>512</v>
      </c>
      <c r="Y10" s="1" t="n">
        <f aca="false">J10*J$1</f>
        <v>256</v>
      </c>
      <c r="Z10" s="1" t="n">
        <f aca="false">K10*K$1</f>
        <v>0</v>
      </c>
      <c r="AA10" s="1" t="n">
        <f aca="false">L10*L$1</f>
        <v>0</v>
      </c>
      <c r="AB10" s="1" t="n">
        <f aca="false">M10*M$1</f>
        <v>32</v>
      </c>
      <c r="AC10" s="1" t="n">
        <f aca="false">N10*N$1</f>
        <v>0</v>
      </c>
      <c r="AD10" s="1" t="n">
        <f aca="false">O10*O$1</f>
        <v>0</v>
      </c>
      <c r="AE10" s="1" t="n">
        <f aca="false">P10*P$1</f>
        <v>0</v>
      </c>
      <c r="AF10" s="1" t="n">
        <f aca="false">SUM(Q10:AE10)</f>
        <v>800</v>
      </c>
      <c r="AG10" s="1" t="str">
        <f aca="false">DEC2HEX(AF10)</f>
        <v>320</v>
      </c>
    </row>
    <row r="11" customFormat="false" ht="13.5" hidden="false" customHeight="false" outlineLevel="0" collapsed="false">
      <c r="A11" s="1" t="s">
        <v>23</v>
      </c>
      <c r="B11" s="1" t="n">
        <v>5</v>
      </c>
      <c r="I11" s="1" t="n">
        <v>1</v>
      </c>
      <c r="J11" s="1" t="n">
        <v>1</v>
      </c>
      <c r="M11" s="1" t="n">
        <v>1</v>
      </c>
      <c r="Q11" s="1" t="n">
        <f aca="false">B11*B$1</f>
        <v>5</v>
      </c>
      <c r="R11" s="1" t="n">
        <f aca="false">C11*C$1</f>
        <v>0</v>
      </c>
      <c r="S11" s="1" t="n">
        <f aca="false">D11*D$1</f>
        <v>0</v>
      </c>
      <c r="T11" s="1" t="n">
        <f aca="false">E11*E$1</f>
        <v>0</v>
      </c>
      <c r="U11" s="1" t="n">
        <f aca="false">F11*F$1</f>
        <v>0</v>
      </c>
      <c r="V11" s="1" t="n">
        <f aca="false">G11*G$1</f>
        <v>0</v>
      </c>
      <c r="W11" s="1" t="n">
        <f aca="false">H11*H$1</f>
        <v>0</v>
      </c>
      <c r="X11" s="1" t="n">
        <f aca="false">I11*I$1</f>
        <v>512</v>
      </c>
      <c r="Y11" s="1" t="n">
        <f aca="false">J11*J$1</f>
        <v>256</v>
      </c>
      <c r="Z11" s="1" t="n">
        <f aca="false">K11*K$1</f>
        <v>0</v>
      </c>
      <c r="AA11" s="1" t="n">
        <f aca="false">L11*L$1</f>
        <v>0</v>
      </c>
      <c r="AB11" s="1" t="n">
        <f aca="false">M11*M$1</f>
        <v>32</v>
      </c>
      <c r="AC11" s="1" t="n">
        <f aca="false">N11*N$1</f>
        <v>0</v>
      </c>
      <c r="AD11" s="1" t="n">
        <f aca="false">O11*O$1</f>
        <v>0</v>
      </c>
      <c r="AE11" s="1" t="n">
        <f aca="false">P11*P$1</f>
        <v>0</v>
      </c>
      <c r="AF11" s="1" t="n">
        <f aca="false">SUM(Q11:AE11)</f>
        <v>805</v>
      </c>
      <c r="AG11" s="1" t="str">
        <f aca="false">DEC2HEX(AF11)</f>
        <v>325</v>
      </c>
    </row>
    <row r="12" customFormat="false" ht="13.5" hidden="false" customHeight="false" outlineLevel="0" collapsed="false">
      <c r="A12" s="1" t="s">
        <v>24</v>
      </c>
      <c r="H12" s="1" t="n">
        <v>1</v>
      </c>
      <c r="I12" s="1" t="n">
        <v>1</v>
      </c>
      <c r="J12" s="1" t="n">
        <v>1</v>
      </c>
      <c r="M12" s="1" t="n">
        <v>1</v>
      </c>
      <c r="Q12" s="1" t="n">
        <f aca="false">B12*B$1</f>
        <v>0</v>
      </c>
      <c r="R12" s="1" t="n">
        <f aca="false">C12*C$1</f>
        <v>0</v>
      </c>
      <c r="S12" s="1" t="n">
        <f aca="false">D12*D$1</f>
        <v>0</v>
      </c>
      <c r="T12" s="1" t="n">
        <f aca="false">E12*E$1</f>
        <v>0</v>
      </c>
      <c r="U12" s="1" t="n">
        <f aca="false">F12*F$1</f>
        <v>0</v>
      </c>
      <c r="V12" s="1" t="n">
        <f aca="false">G12*G$1</f>
        <v>0</v>
      </c>
      <c r="W12" s="1" t="n">
        <f aca="false">H12*H$1</f>
        <v>1024</v>
      </c>
      <c r="X12" s="1" t="n">
        <f aca="false">I12*I$1</f>
        <v>512</v>
      </c>
      <c r="Y12" s="1" t="n">
        <f aca="false">J12*J$1</f>
        <v>256</v>
      </c>
      <c r="Z12" s="1" t="n">
        <f aca="false">K12*K$1</f>
        <v>0</v>
      </c>
      <c r="AA12" s="1" t="n">
        <f aca="false">L12*L$1</f>
        <v>0</v>
      </c>
      <c r="AB12" s="1" t="n">
        <f aca="false">M12*M$1</f>
        <v>32</v>
      </c>
      <c r="AC12" s="1" t="n">
        <f aca="false">N12*N$1</f>
        <v>0</v>
      </c>
      <c r="AD12" s="1" t="n">
        <f aca="false">O12*O$1</f>
        <v>0</v>
      </c>
      <c r="AE12" s="1" t="n">
        <f aca="false">P12*P$1</f>
        <v>0</v>
      </c>
      <c r="AF12" s="1" t="n">
        <f aca="false">SUM(Q12:AE12)</f>
        <v>1824</v>
      </c>
      <c r="AG12" s="1" t="str">
        <f aca="false">DEC2HEX(AF12)</f>
        <v>720</v>
      </c>
    </row>
    <row r="13" customFormat="false" ht="13.5" hidden="false" customHeight="false" outlineLevel="0" collapsed="false">
      <c r="A13" s="1" t="s">
        <v>25</v>
      </c>
      <c r="H13" s="1" t="n">
        <v>1</v>
      </c>
      <c r="I13" s="1" t="n">
        <v>1</v>
      </c>
      <c r="J13" s="1" t="n">
        <v>1</v>
      </c>
      <c r="M13" s="1" t="n">
        <v>1</v>
      </c>
      <c r="P13" s="1" t="n">
        <v>28</v>
      </c>
      <c r="Q13" s="1" t="n">
        <f aca="false">B13*B$1</f>
        <v>0</v>
      </c>
      <c r="R13" s="1" t="n">
        <f aca="false">C13*C$1</f>
        <v>0</v>
      </c>
      <c r="S13" s="1" t="n">
        <f aca="false">D13*D$1</f>
        <v>0</v>
      </c>
      <c r="T13" s="1" t="n">
        <f aca="false">E13*E$1</f>
        <v>0</v>
      </c>
      <c r="U13" s="1" t="n">
        <f aca="false">F13*F$1</f>
        <v>0</v>
      </c>
      <c r="V13" s="1" t="n">
        <f aca="false">G13*G$1</f>
        <v>0</v>
      </c>
      <c r="W13" s="1" t="n">
        <f aca="false">H13*H$1</f>
        <v>1024</v>
      </c>
      <c r="X13" s="1" t="n">
        <f aca="false">I13*I$1</f>
        <v>512</v>
      </c>
      <c r="Y13" s="1" t="n">
        <f aca="false">J13*J$1</f>
        <v>256</v>
      </c>
      <c r="Z13" s="1" t="n">
        <f aca="false">K13*K$1</f>
        <v>0</v>
      </c>
      <c r="AA13" s="1" t="n">
        <f aca="false">L13*L$1</f>
        <v>0</v>
      </c>
      <c r="AB13" s="1" t="n">
        <f aca="false">M13*M$1</f>
        <v>32</v>
      </c>
      <c r="AC13" s="1" t="n">
        <f aca="false">N13*N$1</f>
        <v>0</v>
      </c>
      <c r="AD13" s="1" t="n">
        <f aca="false">O13*O$1</f>
        <v>0</v>
      </c>
      <c r="AE13" s="1" t="n">
        <f aca="false">P13*P$1</f>
        <v>1835008</v>
      </c>
      <c r="AF13" s="1" t="n">
        <f aca="false">SUM(Q13:AE13)</f>
        <v>1836832</v>
      </c>
      <c r="AG13" s="1" t="str">
        <f aca="false">DEC2HEX(AF13)</f>
        <v>1C0720</v>
      </c>
    </row>
    <row r="14" customFormat="false" ht="13.5" hidden="false" customHeight="false" outlineLevel="0" collapsed="false">
      <c r="A14" s="1" t="s">
        <v>26</v>
      </c>
      <c r="P14" s="1" t="n">
        <v>5</v>
      </c>
      <c r="Q14" s="1" t="n">
        <f aca="false">B14*B$1</f>
        <v>0</v>
      </c>
      <c r="R14" s="1" t="n">
        <f aca="false">C14*C$1</f>
        <v>0</v>
      </c>
      <c r="S14" s="1" t="n">
        <f aca="false">D14*D$1</f>
        <v>0</v>
      </c>
      <c r="T14" s="1" t="n">
        <f aca="false">E14*E$1</f>
        <v>0</v>
      </c>
      <c r="U14" s="1" t="n">
        <f aca="false">F14*F$1</f>
        <v>0</v>
      </c>
      <c r="V14" s="1" t="n">
        <f aca="false">G14*G$1</f>
        <v>0</v>
      </c>
      <c r="W14" s="1" t="n">
        <f aca="false">H14*H$1</f>
        <v>0</v>
      </c>
      <c r="X14" s="1" t="n">
        <f aca="false">I14*I$1</f>
        <v>0</v>
      </c>
      <c r="Y14" s="1" t="n">
        <f aca="false">J14*J$1</f>
        <v>0</v>
      </c>
      <c r="Z14" s="1" t="n">
        <f aca="false">K14*K$1</f>
        <v>0</v>
      </c>
      <c r="AA14" s="1" t="n">
        <f aca="false">L14*L$1</f>
        <v>0</v>
      </c>
      <c r="AB14" s="1" t="n">
        <f aca="false">M14*M$1</f>
        <v>0</v>
      </c>
      <c r="AC14" s="1" t="n">
        <f aca="false">N14*N$1</f>
        <v>0</v>
      </c>
      <c r="AD14" s="1" t="n">
        <f aca="false">O14*O$1</f>
        <v>0</v>
      </c>
      <c r="AE14" s="1" t="n">
        <f aca="false">P14*P$1</f>
        <v>327680</v>
      </c>
      <c r="AF14" s="1" t="n">
        <f aca="false">SUM(Q14:AE14)</f>
        <v>327680</v>
      </c>
      <c r="AG14" s="1" t="str">
        <f aca="false">DEC2HEX(AF14)</f>
        <v>50000</v>
      </c>
    </row>
    <row r="15" customFormat="false" ht="13.5" hidden="false" customHeight="false" outlineLevel="0" collapsed="false">
      <c r="A15" s="1" t="s">
        <v>27</v>
      </c>
      <c r="B15" s="1" t="n">
        <v>4</v>
      </c>
      <c r="C15" s="1" t="n">
        <v>1</v>
      </c>
      <c r="Q15" s="1" t="n">
        <f aca="false">B15*B$1</f>
        <v>4</v>
      </c>
      <c r="R15" s="1" t="n">
        <f aca="false">C15*C$1</f>
        <v>32768</v>
      </c>
      <c r="S15" s="1" t="n">
        <f aca="false">D15*D$1</f>
        <v>0</v>
      </c>
      <c r="T15" s="1" t="n">
        <f aca="false">E15*E$1</f>
        <v>0</v>
      </c>
      <c r="U15" s="1" t="n">
        <f aca="false">F15*F$1</f>
        <v>0</v>
      </c>
      <c r="V15" s="1" t="n">
        <f aca="false">G15*G$1</f>
        <v>0</v>
      </c>
      <c r="W15" s="1" t="n">
        <f aca="false">H15*H$1</f>
        <v>0</v>
      </c>
      <c r="X15" s="1" t="n">
        <f aca="false">I15*I$1</f>
        <v>0</v>
      </c>
      <c r="Y15" s="1" t="n">
        <f aca="false">J15*J$1</f>
        <v>0</v>
      </c>
      <c r="Z15" s="1" t="n">
        <f aca="false">K15*K$1</f>
        <v>0</v>
      </c>
      <c r="AA15" s="1" t="n">
        <f aca="false">L15*L$1</f>
        <v>0</v>
      </c>
      <c r="AB15" s="1" t="n">
        <f aca="false">M15*M$1</f>
        <v>0</v>
      </c>
      <c r="AC15" s="1" t="n">
        <f aca="false">N15*N$1</f>
        <v>0</v>
      </c>
      <c r="AD15" s="1" t="n">
        <f aca="false">O15*O$1</f>
        <v>0</v>
      </c>
      <c r="AE15" s="1" t="n">
        <f aca="false">P15*P$1</f>
        <v>0</v>
      </c>
      <c r="AF15" s="1" t="n">
        <f aca="false">SUM(Q15:AE15)</f>
        <v>32772</v>
      </c>
      <c r="AG15" s="1" t="str">
        <f aca="false">DEC2HEX(AF15)</f>
        <v>8004</v>
      </c>
    </row>
    <row r="16" customFormat="false" ht="13.5" hidden="false" customHeight="false" outlineLevel="0" collapsed="false">
      <c r="A16" s="1" t="s">
        <v>28</v>
      </c>
      <c r="J16" s="1" t="n">
        <v>1</v>
      </c>
      <c r="Q16" s="1" t="n">
        <f aca="false">B16*B$1</f>
        <v>0</v>
      </c>
      <c r="R16" s="1" t="n">
        <f aca="false">C16*C$1</f>
        <v>0</v>
      </c>
      <c r="S16" s="1" t="n">
        <f aca="false">D16*D$1</f>
        <v>0</v>
      </c>
      <c r="T16" s="1" t="n">
        <f aca="false">E16*E$1</f>
        <v>0</v>
      </c>
      <c r="U16" s="1" t="n">
        <f aca="false">F16*F$1</f>
        <v>0</v>
      </c>
      <c r="V16" s="1" t="n">
        <f aca="false">G16*G$1</f>
        <v>0</v>
      </c>
      <c r="W16" s="1" t="n">
        <f aca="false">H16*H$1</f>
        <v>0</v>
      </c>
      <c r="X16" s="1" t="n">
        <f aca="false">I16*I$1</f>
        <v>0</v>
      </c>
      <c r="Y16" s="1" t="n">
        <f aca="false">J16*J$1</f>
        <v>256</v>
      </c>
      <c r="Z16" s="1" t="n">
        <f aca="false">K16*K$1</f>
        <v>0</v>
      </c>
      <c r="AA16" s="1" t="n">
        <f aca="false">L16*L$1</f>
        <v>0</v>
      </c>
      <c r="AB16" s="1" t="n">
        <f aca="false">M16*M$1</f>
        <v>0</v>
      </c>
      <c r="AC16" s="1" t="n">
        <f aca="false">N16*N$1</f>
        <v>0</v>
      </c>
      <c r="AD16" s="1" t="n">
        <f aca="false">O16*O$1</f>
        <v>0</v>
      </c>
      <c r="AE16" s="1" t="n">
        <f aca="false">P16*P$1</f>
        <v>0</v>
      </c>
      <c r="AF16" s="1" t="n">
        <f aca="false">SUM(Q16:AE16)</f>
        <v>256</v>
      </c>
      <c r="AG16" s="1" t="str">
        <f aca="false">DEC2HEX(AF16)</f>
        <v>100</v>
      </c>
    </row>
    <row r="17" customFormat="false" ht="13.5" hidden="false" customHeight="false" outlineLevel="0" collapsed="false">
      <c r="A17" s="1" t="s">
        <v>29</v>
      </c>
      <c r="H17" s="1" t="n">
        <v>1</v>
      </c>
      <c r="J17" s="1" t="n">
        <v>1</v>
      </c>
      <c r="Q17" s="1" t="n">
        <f aca="false">B17*B$1</f>
        <v>0</v>
      </c>
      <c r="R17" s="1" t="n">
        <f aca="false">C17*C$1</f>
        <v>0</v>
      </c>
      <c r="S17" s="1" t="n">
        <f aca="false">D17*D$1</f>
        <v>0</v>
      </c>
      <c r="T17" s="1" t="n">
        <f aca="false">E17*E$1</f>
        <v>0</v>
      </c>
      <c r="U17" s="1" t="n">
        <f aca="false">F17*F$1</f>
        <v>0</v>
      </c>
      <c r="V17" s="1" t="n">
        <f aca="false">G17*G$1</f>
        <v>0</v>
      </c>
      <c r="W17" s="1" t="n">
        <f aca="false">H17*H$1</f>
        <v>1024</v>
      </c>
      <c r="X17" s="1" t="n">
        <f aca="false">I17*I$1</f>
        <v>0</v>
      </c>
      <c r="Y17" s="1" t="n">
        <f aca="false">J17*J$1</f>
        <v>256</v>
      </c>
      <c r="Z17" s="1" t="n">
        <f aca="false">K17*K$1</f>
        <v>0</v>
      </c>
      <c r="AA17" s="1" t="n">
        <f aca="false">L17*L$1</f>
        <v>0</v>
      </c>
      <c r="AB17" s="1" t="n">
        <f aca="false">M17*M$1</f>
        <v>0</v>
      </c>
      <c r="AC17" s="1" t="n">
        <f aca="false">N17*N$1</f>
        <v>0</v>
      </c>
      <c r="AD17" s="1" t="n">
        <f aca="false">O17*O$1</f>
        <v>0</v>
      </c>
      <c r="AE17" s="1" t="n">
        <f aca="false">P17*P$1</f>
        <v>0</v>
      </c>
      <c r="AF17" s="1" t="n">
        <f aca="false">SUM(Q17:AE17)</f>
        <v>1280</v>
      </c>
      <c r="AG17" s="1" t="str">
        <f aca="false">DEC2HEX(AF17)</f>
        <v>500</v>
      </c>
    </row>
    <row r="18" customFormat="false" ht="13.5" hidden="false" customHeight="false" outlineLevel="0" collapsed="false">
      <c r="A18" s="1" t="s">
        <v>30</v>
      </c>
      <c r="H18" s="1" t="n">
        <v>1</v>
      </c>
      <c r="J18" s="1" t="n">
        <v>1</v>
      </c>
      <c r="P18" s="1" t="n">
        <v>28</v>
      </c>
      <c r="Q18" s="1" t="n">
        <f aca="false">B18*B$1</f>
        <v>0</v>
      </c>
      <c r="R18" s="1" t="n">
        <f aca="false">C18*C$1</f>
        <v>0</v>
      </c>
      <c r="S18" s="1" t="n">
        <f aca="false">D18*D$1</f>
        <v>0</v>
      </c>
      <c r="T18" s="1" t="n">
        <f aca="false">E18*E$1</f>
        <v>0</v>
      </c>
      <c r="U18" s="1" t="n">
        <f aca="false">F18*F$1</f>
        <v>0</v>
      </c>
      <c r="V18" s="1" t="n">
        <f aca="false">G18*G$1</f>
        <v>0</v>
      </c>
      <c r="W18" s="1" t="n">
        <f aca="false">H18*H$1</f>
        <v>1024</v>
      </c>
      <c r="X18" s="1" t="n">
        <f aca="false">I18*I$1</f>
        <v>0</v>
      </c>
      <c r="Y18" s="1" t="n">
        <f aca="false">J18*J$1</f>
        <v>256</v>
      </c>
      <c r="Z18" s="1" t="n">
        <f aca="false">K18*K$1</f>
        <v>0</v>
      </c>
      <c r="AA18" s="1" t="n">
        <f aca="false">L18*L$1</f>
        <v>0</v>
      </c>
      <c r="AB18" s="1" t="n">
        <f aca="false">M18*M$1</f>
        <v>0</v>
      </c>
      <c r="AC18" s="1" t="n">
        <f aca="false">N18*N$1</f>
        <v>0</v>
      </c>
      <c r="AD18" s="1" t="n">
        <f aca="false">O18*O$1</f>
        <v>0</v>
      </c>
      <c r="AE18" s="1" t="n">
        <f aca="false">P18*P$1</f>
        <v>1835008</v>
      </c>
      <c r="AF18" s="1" t="n">
        <f aca="false">SUM(Q18:AE18)</f>
        <v>1836288</v>
      </c>
      <c r="AG18" s="1" t="str">
        <f aca="false">DEC2HEX(AF18)</f>
        <v>1C0500</v>
      </c>
    </row>
    <row r="19" customFormat="false" ht="13.5" hidden="false" customHeight="false" outlineLevel="0" collapsed="false">
      <c r="A19" s="1" t="s">
        <v>31</v>
      </c>
      <c r="H19" s="1" t="n">
        <v>1</v>
      </c>
      <c r="J19" s="1" t="n">
        <v>1</v>
      </c>
      <c r="P19" s="1" t="n">
        <v>24</v>
      </c>
      <c r="Q19" s="1" t="n">
        <f aca="false">B19*B$1</f>
        <v>0</v>
      </c>
      <c r="R19" s="1" t="n">
        <f aca="false">C19*C$1</f>
        <v>0</v>
      </c>
      <c r="S19" s="1" t="n">
        <f aca="false">D19*D$1</f>
        <v>0</v>
      </c>
      <c r="T19" s="1" t="n">
        <f aca="false">E19*E$1</f>
        <v>0</v>
      </c>
      <c r="U19" s="1" t="n">
        <f aca="false">F19*F$1</f>
        <v>0</v>
      </c>
      <c r="V19" s="1" t="n">
        <f aca="false">G19*G$1</f>
        <v>0</v>
      </c>
      <c r="W19" s="1" t="n">
        <f aca="false">H19*H$1</f>
        <v>1024</v>
      </c>
      <c r="X19" s="1" t="n">
        <f aca="false">I19*I$1</f>
        <v>0</v>
      </c>
      <c r="Y19" s="1" t="n">
        <f aca="false">J19*J$1</f>
        <v>256</v>
      </c>
      <c r="Z19" s="1" t="n">
        <f aca="false">K19*K$1</f>
        <v>0</v>
      </c>
      <c r="AA19" s="1" t="n">
        <f aca="false">L19*L$1</f>
        <v>0</v>
      </c>
      <c r="AB19" s="1" t="n">
        <f aca="false">M19*M$1</f>
        <v>0</v>
      </c>
      <c r="AC19" s="1" t="n">
        <f aca="false">N19*N$1</f>
        <v>0</v>
      </c>
      <c r="AD19" s="1" t="n">
        <f aca="false">O19*O$1</f>
        <v>0</v>
      </c>
      <c r="AE19" s="1" t="n">
        <f aca="false">P19*P$1</f>
        <v>1572864</v>
      </c>
      <c r="AF19" s="1" t="n">
        <f aca="false">SUM(Q19:AE19)</f>
        <v>1574144</v>
      </c>
      <c r="AG19" s="1" t="str">
        <f aca="false">DEC2HEX(AF19)</f>
        <v>180500</v>
      </c>
    </row>
    <row r="20" customFormat="false" ht="13.5" hidden="false" customHeight="false" outlineLevel="0" collapsed="false">
      <c r="A20" s="1" t="s">
        <v>32</v>
      </c>
      <c r="H20" s="1" t="n">
        <v>1</v>
      </c>
      <c r="J20" s="1" t="n">
        <v>1</v>
      </c>
      <c r="N20" s="1" t="n">
        <v>1</v>
      </c>
      <c r="Q20" s="1" t="n">
        <f aca="false">B20*B$1</f>
        <v>0</v>
      </c>
      <c r="R20" s="1" t="n">
        <f aca="false">C20*C$1</f>
        <v>0</v>
      </c>
      <c r="S20" s="1" t="n">
        <f aca="false">D20*D$1</f>
        <v>0</v>
      </c>
      <c r="T20" s="1" t="n">
        <f aca="false">E20*E$1</f>
        <v>0</v>
      </c>
      <c r="U20" s="1" t="n">
        <f aca="false">F20*F$1</f>
        <v>0</v>
      </c>
      <c r="V20" s="1" t="n">
        <f aca="false">G20*G$1</f>
        <v>0</v>
      </c>
      <c r="W20" s="1" t="n">
        <f aca="false">H20*H$1</f>
        <v>1024</v>
      </c>
      <c r="X20" s="1" t="n">
        <f aca="false">I20*I$1</f>
        <v>0</v>
      </c>
      <c r="Y20" s="1" t="n">
        <f aca="false">J20*J$1</f>
        <v>256</v>
      </c>
      <c r="Z20" s="1" t="n">
        <f aca="false">K20*K$1</f>
        <v>0</v>
      </c>
      <c r="AA20" s="1" t="n">
        <f aca="false">L20*L$1</f>
        <v>0</v>
      </c>
      <c r="AB20" s="1" t="n">
        <f aca="false">M20*M$1</f>
        <v>0</v>
      </c>
      <c r="AC20" s="1" t="n">
        <f aca="false">N20*N$1</f>
        <v>16</v>
      </c>
      <c r="AD20" s="1" t="n">
        <f aca="false">O20*O$1</f>
        <v>0</v>
      </c>
      <c r="AE20" s="1" t="n">
        <f aca="false">P20*P$1</f>
        <v>0</v>
      </c>
      <c r="AF20" s="1" t="n">
        <f aca="false">SUM(Q20:AE20)</f>
        <v>1296</v>
      </c>
      <c r="AG20" s="1" t="str">
        <f aca="false">DEC2HEX(AF20)</f>
        <v>510</v>
      </c>
    </row>
    <row r="21" customFormat="false" ht="13.5" hidden="false" customHeight="false" outlineLevel="0" collapsed="false">
      <c r="A21" s="1" t="s">
        <v>33</v>
      </c>
      <c r="J21" s="1" t="n">
        <v>1</v>
      </c>
      <c r="P21" s="1" t="n">
        <v>24</v>
      </c>
      <c r="Q21" s="1" t="n">
        <f aca="false">B21*B$1</f>
        <v>0</v>
      </c>
      <c r="R21" s="1" t="n">
        <f aca="false">C21*C$1</f>
        <v>0</v>
      </c>
      <c r="S21" s="1" t="n">
        <f aca="false">D21*D$1</f>
        <v>0</v>
      </c>
      <c r="T21" s="1" t="n">
        <f aca="false">E21*E$1</f>
        <v>0</v>
      </c>
      <c r="U21" s="1" t="n">
        <f aca="false">F21*F$1</f>
        <v>0</v>
      </c>
      <c r="V21" s="1" t="n">
        <f aca="false">G21*G$1</f>
        <v>0</v>
      </c>
      <c r="W21" s="1" t="n">
        <f aca="false">H21*H$1</f>
        <v>0</v>
      </c>
      <c r="X21" s="1" t="n">
        <f aca="false">I21*I$1</f>
        <v>0</v>
      </c>
      <c r="Y21" s="1" t="n">
        <f aca="false">J21*J$1</f>
        <v>256</v>
      </c>
      <c r="Z21" s="1" t="n">
        <f aca="false">K21*K$1</f>
        <v>0</v>
      </c>
      <c r="AA21" s="1" t="n">
        <f aca="false">L21*L$1</f>
        <v>0</v>
      </c>
      <c r="AB21" s="1" t="n">
        <f aca="false">M21*M$1</f>
        <v>0</v>
      </c>
      <c r="AC21" s="1" t="n">
        <f aca="false">N21*N$1</f>
        <v>0</v>
      </c>
      <c r="AD21" s="1" t="n">
        <f aca="false">O21*O$1</f>
        <v>0</v>
      </c>
      <c r="AE21" s="1" t="n">
        <f aca="false">P21*P$1</f>
        <v>1572864</v>
      </c>
      <c r="AF21" s="1" t="n">
        <f aca="false">SUM(Q21:AE21)</f>
        <v>1573120</v>
      </c>
      <c r="AG21" s="1" t="str">
        <f aca="false">DEC2HEX(AF21)</f>
        <v>180100</v>
      </c>
    </row>
    <row r="22" customFormat="false" ht="13.5" hidden="false" customHeight="false" outlineLevel="0" collapsed="false">
      <c r="A22" s="1" t="s">
        <v>34</v>
      </c>
      <c r="J22" s="1" t="n">
        <v>1</v>
      </c>
      <c r="N22" s="1" t="n">
        <v>1</v>
      </c>
      <c r="Q22" s="1" t="n">
        <f aca="false">B22*B$1</f>
        <v>0</v>
      </c>
      <c r="R22" s="1" t="n">
        <f aca="false">C22*C$1</f>
        <v>0</v>
      </c>
      <c r="S22" s="1" t="n">
        <f aca="false">D22*D$1</f>
        <v>0</v>
      </c>
      <c r="T22" s="1" t="n">
        <f aca="false">E22*E$1</f>
        <v>0</v>
      </c>
      <c r="U22" s="1" t="n">
        <f aca="false">F22*F$1</f>
        <v>0</v>
      </c>
      <c r="V22" s="1" t="n">
        <f aca="false">G22*G$1</f>
        <v>0</v>
      </c>
      <c r="W22" s="1" t="n">
        <f aca="false">H22*H$1</f>
        <v>0</v>
      </c>
      <c r="X22" s="1" t="n">
        <f aca="false">I22*I$1</f>
        <v>0</v>
      </c>
      <c r="Y22" s="1" t="n">
        <f aca="false">J22*J$1</f>
        <v>256</v>
      </c>
      <c r="Z22" s="1" t="n">
        <f aca="false">K22*K$1</f>
        <v>0</v>
      </c>
      <c r="AA22" s="1" t="n">
        <f aca="false">L22*L$1</f>
        <v>0</v>
      </c>
      <c r="AB22" s="1" t="n">
        <f aca="false">M22*M$1</f>
        <v>0</v>
      </c>
      <c r="AC22" s="1" t="n">
        <f aca="false">N22*N$1</f>
        <v>16</v>
      </c>
      <c r="AD22" s="1" t="n">
        <f aca="false">O22*O$1</f>
        <v>0</v>
      </c>
      <c r="AE22" s="1" t="n">
        <f aca="false">P22*P$1</f>
        <v>0</v>
      </c>
      <c r="AF22" s="1" t="n">
        <f aca="false">SUM(Q22:AE22)</f>
        <v>272</v>
      </c>
      <c r="AG22" s="1" t="str">
        <f aca="false">DEC2HEX(AF22)</f>
        <v>110</v>
      </c>
    </row>
    <row r="23" customFormat="false" ht="13.5" hidden="false" customHeight="false" outlineLevel="0" collapsed="false">
      <c r="A23" s="1" t="s">
        <v>35</v>
      </c>
      <c r="H23" s="1" t="n">
        <v>1</v>
      </c>
      <c r="I23" s="1" t="n">
        <v>1</v>
      </c>
      <c r="J23" s="1" t="n">
        <v>1</v>
      </c>
      <c r="Q23" s="1" t="n">
        <f aca="false">B23*B$1</f>
        <v>0</v>
      </c>
      <c r="R23" s="1" t="n">
        <f aca="false">C23*C$1</f>
        <v>0</v>
      </c>
      <c r="S23" s="1" t="n">
        <f aca="false">D23*D$1</f>
        <v>0</v>
      </c>
      <c r="T23" s="1" t="n">
        <f aca="false">E23*E$1</f>
        <v>0</v>
      </c>
      <c r="U23" s="1" t="n">
        <f aca="false">F23*F$1</f>
        <v>0</v>
      </c>
      <c r="V23" s="1" t="n">
        <f aca="false">G23*G$1</f>
        <v>0</v>
      </c>
      <c r="W23" s="1" t="n">
        <f aca="false">H23*H$1</f>
        <v>1024</v>
      </c>
      <c r="X23" s="1" t="n">
        <f aca="false">I23*I$1</f>
        <v>512</v>
      </c>
      <c r="Y23" s="1" t="n">
        <f aca="false">J23*J$1</f>
        <v>256</v>
      </c>
      <c r="Z23" s="1" t="n">
        <f aca="false">K23*K$1</f>
        <v>0</v>
      </c>
      <c r="AA23" s="1" t="n">
        <f aca="false">L23*L$1</f>
        <v>0</v>
      </c>
      <c r="AB23" s="1" t="n">
        <f aca="false">M23*M$1</f>
        <v>0</v>
      </c>
      <c r="AC23" s="1" t="n">
        <f aca="false">N23*N$1</f>
        <v>0</v>
      </c>
      <c r="AD23" s="1" t="n">
        <f aca="false">O23*O$1</f>
        <v>0</v>
      </c>
      <c r="AE23" s="1" t="n">
        <f aca="false">P23*P$1</f>
        <v>0</v>
      </c>
      <c r="AF23" s="1" t="n">
        <f aca="false">SUM(Q23:AE23)</f>
        <v>1792</v>
      </c>
      <c r="AG23" s="1" t="str">
        <f aca="false">DEC2HEX(AF23)</f>
        <v>700</v>
      </c>
    </row>
    <row r="24" customFormat="false" ht="13.5" hidden="false" customHeight="false" outlineLevel="0" collapsed="false">
      <c r="A24" s="1" t="s">
        <v>36</v>
      </c>
      <c r="I24" s="1" t="n">
        <v>1</v>
      </c>
      <c r="Q24" s="1" t="n">
        <f aca="false">B24*B$1</f>
        <v>0</v>
      </c>
      <c r="R24" s="1" t="n">
        <f aca="false">C24*C$1</f>
        <v>0</v>
      </c>
      <c r="S24" s="1" t="n">
        <f aca="false">D24*D$1</f>
        <v>0</v>
      </c>
      <c r="T24" s="1" t="n">
        <f aca="false">E24*E$1</f>
        <v>0</v>
      </c>
      <c r="U24" s="1" t="n">
        <f aca="false">F24*F$1</f>
        <v>0</v>
      </c>
      <c r="V24" s="1" t="n">
        <f aca="false">G24*G$1</f>
        <v>0</v>
      </c>
      <c r="W24" s="1" t="n">
        <f aca="false">H24*H$1</f>
        <v>0</v>
      </c>
      <c r="X24" s="1" t="n">
        <f aca="false">I24*I$1</f>
        <v>512</v>
      </c>
      <c r="Y24" s="1" t="n">
        <f aca="false">J24*J$1</f>
        <v>0</v>
      </c>
      <c r="Z24" s="1" t="n">
        <f aca="false">K24*K$1</f>
        <v>0</v>
      </c>
      <c r="AA24" s="1" t="n">
        <f aca="false">L24*L$1</f>
        <v>0</v>
      </c>
      <c r="AB24" s="1" t="n">
        <f aca="false">M24*M$1</f>
        <v>0</v>
      </c>
      <c r="AC24" s="1" t="n">
        <f aca="false">N24*N$1</f>
        <v>0</v>
      </c>
      <c r="AD24" s="1" t="n">
        <f aca="false">O24*O$1</f>
        <v>0</v>
      </c>
      <c r="AE24" s="1" t="n">
        <f aca="false">P24*P$1</f>
        <v>0</v>
      </c>
      <c r="AF24" s="1" t="n">
        <f aca="false">SUM(Q24:AE24)</f>
        <v>512</v>
      </c>
      <c r="AG24" s="1" t="str">
        <f aca="false">DEC2HEX(AF24)</f>
        <v>200</v>
      </c>
    </row>
    <row r="25" customFormat="false" ht="13.5" hidden="false" customHeight="false" outlineLevel="0" collapsed="false">
      <c r="A25" s="1" t="s">
        <v>37</v>
      </c>
      <c r="I25" s="1" t="n">
        <v>1</v>
      </c>
      <c r="J25" s="1" t="n">
        <v>1</v>
      </c>
      <c r="Q25" s="1" t="n">
        <f aca="false">B25*B$1</f>
        <v>0</v>
      </c>
      <c r="R25" s="1" t="n">
        <f aca="false">C25*C$1</f>
        <v>0</v>
      </c>
      <c r="S25" s="1" t="n">
        <f aca="false">D25*D$1</f>
        <v>0</v>
      </c>
      <c r="T25" s="1" t="n">
        <f aca="false">E25*E$1</f>
        <v>0</v>
      </c>
      <c r="U25" s="1" t="n">
        <f aca="false">F25*F$1</f>
        <v>0</v>
      </c>
      <c r="V25" s="1" t="n">
        <f aca="false">G25*G$1</f>
        <v>0</v>
      </c>
      <c r="W25" s="1" t="n">
        <f aca="false">H25*H$1</f>
        <v>0</v>
      </c>
      <c r="X25" s="1" t="n">
        <f aca="false">I25*I$1</f>
        <v>512</v>
      </c>
      <c r="Y25" s="1" t="n">
        <f aca="false">J25*J$1</f>
        <v>256</v>
      </c>
      <c r="Z25" s="1" t="n">
        <f aca="false">K25*K$1</f>
        <v>0</v>
      </c>
      <c r="AA25" s="1" t="n">
        <f aca="false">L25*L$1</f>
        <v>0</v>
      </c>
      <c r="AB25" s="1" t="n">
        <f aca="false">M25*M$1</f>
        <v>0</v>
      </c>
      <c r="AC25" s="1" t="n">
        <f aca="false">N25*N$1</f>
        <v>0</v>
      </c>
      <c r="AD25" s="1" t="n">
        <f aca="false">O25*O$1</f>
        <v>0</v>
      </c>
      <c r="AE25" s="1" t="n">
        <f aca="false">P25*P$1</f>
        <v>0</v>
      </c>
      <c r="AF25" s="1" t="n">
        <f aca="false">SUM(Q25:AE25)</f>
        <v>768</v>
      </c>
      <c r="AG25" s="1" t="str">
        <f aca="false">DEC2HEX(AF25)</f>
        <v>300</v>
      </c>
    </row>
    <row r="26" customFormat="false" ht="13.5" hidden="false" customHeight="false" outlineLevel="0" collapsed="false">
      <c r="A26" s="1" t="s">
        <v>38</v>
      </c>
      <c r="H26" s="1" t="n">
        <v>1</v>
      </c>
      <c r="I26" s="1" t="n">
        <v>1</v>
      </c>
      <c r="Q26" s="1" t="n">
        <f aca="false">B26*B$1</f>
        <v>0</v>
      </c>
      <c r="R26" s="1" t="n">
        <f aca="false">C26*C$1</f>
        <v>0</v>
      </c>
      <c r="S26" s="1" t="n">
        <f aca="false">D26*D$1</f>
        <v>0</v>
      </c>
      <c r="T26" s="1" t="n">
        <f aca="false">E26*E$1</f>
        <v>0</v>
      </c>
      <c r="U26" s="1" t="n">
        <f aca="false">F26*F$1</f>
        <v>0</v>
      </c>
      <c r="V26" s="1" t="n">
        <f aca="false">G26*G$1</f>
        <v>0</v>
      </c>
      <c r="W26" s="1" t="n">
        <f aca="false">H26*H$1</f>
        <v>1024</v>
      </c>
      <c r="X26" s="1" t="n">
        <f aca="false">I26*I$1</f>
        <v>512</v>
      </c>
      <c r="Y26" s="1" t="n">
        <f aca="false">J26*J$1</f>
        <v>0</v>
      </c>
      <c r="Z26" s="1" t="n">
        <f aca="false">K26*K$1</f>
        <v>0</v>
      </c>
      <c r="AA26" s="1" t="n">
        <f aca="false">L26*L$1</f>
        <v>0</v>
      </c>
      <c r="AB26" s="1" t="n">
        <f aca="false">M26*M$1</f>
        <v>0</v>
      </c>
      <c r="AC26" s="1" t="n">
        <f aca="false">N26*N$1</f>
        <v>0</v>
      </c>
      <c r="AD26" s="1" t="n">
        <f aca="false">O26*O$1</f>
        <v>0</v>
      </c>
      <c r="AE26" s="1" t="n">
        <f aca="false">P26*P$1</f>
        <v>0</v>
      </c>
      <c r="AF26" s="1" t="n">
        <f aca="false">SUM(Q26:AE26)</f>
        <v>1536</v>
      </c>
      <c r="AG26" s="1" t="str">
        <f aca="false">DEC2HEX(AF26)</f>
        <v>600</v>
      </c>
    </row>
    <row r="27" customFormat="false" ht="13.5" hidden="false" customHeight="false" outlineLevel="0" collapsed="false">
      <c r="A27" s="1" t="s">
        <v>39</v>
      </c>
      <c r="I27" s="1" t="n">
        <v>1</v>
      </c>
      <c r="P27" s="1" t="n">
        <v>24</v>
      </c>
      <c r="Q27" s="1" t="n">
        <f aca="false">B27*B$1</f>
        <v>0</v>
      </c>
      <c r="R27" s="1" t="n">
        <f aca="false">C27*C$1</f>
        <v>0</v>
      </c>
      <c r="S27" s="1" t="n">
        <f aca="false">D27*D$1</f>
        <v>0</v>
      </c>
      <c r="T27" s="1" t="n">
        <f aca="false">E27*E$1</f>
        <v>0</v>
      </c>
      <c r="U27" s="1" t="n">
        <f aca="false">F27*F$1</f>
        <v>0</v>
      </c>
      <c r="V27" s="1" t="n">
        <f aca="false">G27*G$1</f>
        <v>0</v>
      </c>
      <c r="W27" s="1" t="n">
        <f aca="false">H27*H$1</f>
        <v>0</v>
      </c>
      <c r="X27" s="1" t="n">
        <f aca="false">I27*I$1</f>
        <v>512</v>
      </c>
      <c r="Y27" s="1" t="n">
        <f aca="false">J27*J$1</f>
        <v>0</v>
      </c>
      <c r="Z27" s="1" t="n">
        <f aca="false">K27*K$1</f>
        <v>0</v>
      </c>
      <c r="AA27" s="1" t="n">
        <f aca="false">L27*L$1</f>
        <v>0</v>
      </c>
      <c r="AB27" s="1" t="n">
        <f aca="false">M27*M$1</f>
        <v>0</v>
      </c>
      <c r="AC27" s="1" t="n">
        <f aca="false">N27*N$1</f>
        <v>0</v>
      </c>
      <c r="AD27" s="1" t="n">
        <f aca="false">O27*O$1</f>
        <v>0</v>
      </c>
      <c r="AE27" s="1" t="n">
        <f aca="false">P27*P$1</f>
        <v>1572864</v>
      </c>
      <c r="AF27" s="1" t="n">
        <f aca="false">SUM(Q27:AE27)</f>
        <v>1573376</v>
      </c>
      <c r="AG27" s="1" t="str">
        <f aca="false">DEC2HEX(AF27)</f>
        <v>180200</v>
      </c>
    </row>
    <row r="28" customFormat="false" ht="13.5" hidden="false" customHeight="false" outlineLevel="0" collapsed="false">
      <c r="A28" s="1" t="s">
        <v>40</v>
      </c>
      <c r="I28" s="1" t="n">
        <v>1</v>
      </c>
      <c r="N28" s="1" t="n">
        <v>1</v>
      </c>
      <c r="Q28" s="1" t="n">
        <f aca="false">B28*B$1</f>
        <v>0</v>
      </c>
      <c r="R28" s="1" t="n">
        <f aca="false">C28*C$1</f>
        <v>0</v>
      </c>
      <c r="S28" s="1" t="n">
        <f aca="false">D28*D$1</f>
        <v>0</v>
      </c>
      <c r="T28" s="1" t="n">
        <f aca="false">E28*E$1</f>
        <v>0</v>
      </c>
      <c r="U28" s="1" t="n">
        <f aca="false">F28*F$1</f>
        <v>0</v>
      </c>
      <c r="V28" s="1" t="n">
        <f aca="false">G28*G$1</f>
        <v>0</v>
      </c>
      <c r="W28" s="1" t="n">
        <f aca="false">H28*H$1</f>
        <v>0</v>
      </c>
      <c r="X28" s="1" t="n">
        <f aca="false">I28*I$1</f>
        <v>512</v>
      </c>
      <c r="Y28" s="1" t="n">
        <f aca="false">J28*J$1</f>
        <v>0</v>
      </c>
      <c r="Z28" s="1" t="n">
        <f aca="false">K28*K$1</f>
        <v>0</v>
      </c>
      <c r="AA28" s="1" t="n">
        <f aca="false">L28*L$1</f>
        <v>0</v>
      </c>
      <c r="AB28" s="1" t="n">
        <f aca="false">M28*M$1</f>
        <v>0</v>
      </c>
      <c r="AC28" s="1" t="n">
        <f aca="false">N28*N$1</f>
        <v>16</v>
      </c>
      <c r="AD28" s="1" t="n">
        <f aca="false">O28*O$1</f>
        <v>0</v>
      </c>
      <c r="AE28" s="1" t="n">
        <f aca="false">P28*P$1</f>
        <v>0</v>
      </c>
      <c r="AF28" s="1" t="n">
        <f aca="false">SUM(Q28:AE28)</f>
        <v>528</v>
      </c>
      <c r="AG28" s="1" t="str">
        <f aca="false">DEC2HEX(AF28)</f>
        <v>210</v>
      </c>
    </row>
    <row r="29" customFormat="false" ht="13.5" hidden="false" customHeight="false" outlineLevel="0" collapsed="false">
      <c r="A29" s="1" t="s">
        <v>41</v>
      </c>
      <c r="B29" s="1" t="n">
        <v>3</v>
      </c>
      <c r="P29" s="1" t="n">
        <v>29</v>
      </c>
      <c r="Q29" s="1" t="n">
        <f aca="false">B29*B$1</f>
        <v>3</v>
      </c>
      <c r="R29" s="1" t="n">
        <f aca="false">C29*C$1</f>
        <v>0</v>
      </c>
      <c r="S29" s="1" t="n">
        <f aca="false">D29*D$1</f>
        <v>0</v>
      </c>
      <c r="T29" s="1" t="n">
        <f aca="false">E29*E$1</f>
        <v>0</v>
      </c>
      <c r="U29" s="1" t="n">
        <f aca="false">F29*F$1</f>
        <v>0</v>
      </c>
      <c r="V29" s="1" t="n">
        <f aca="false">G29*G$1</f>
        <v>0</v>
      </c>
      <c r="W29" s="1" t="n">
        <f aca="false">H29*H$1</f>
        <v>0</v>
      </c>
      <c r="X29" s="1" t="n">
        <f aca="false">I29*I$1</f>
        <v>0</v>
      </c>
      <c r="Y29" s="1" t="n">
        <f aca="false">J29*J$1</f>
        <v>0</v>
      </c>
      <c r="Z29" s="1" t="n">
        <f aca="false">K29*K$1</f>
        <v>0</v>
      </c>
      <c r="AA29" s="1" t="n">
        <f aca="false">L29*L$1</f>
        <v>0</v>
      </c>
      <c r="AB29" s="1" t="n">
        <f aca="false">M29*M$1</f>
        <v>0</v>
      </c>
      <c r="AC29" s="1" t="n">
        <f aca="false">N29*N$1</f>
        <v>0</v>
      </c>
      <c r="AD29" s="1" t="n">
        <f aca="false">O29*O$1</f>
        <v>0</v>
      </c>
      <c r="AE29" s="1" t="n">
        <f aca="false">P29*P$1</f>
        <v>1900544</v>
      </c>
      <c r="AF29" s="1" t="n">
        <f aca="false">SUM(Q29:AE29)</f>
        <v>1900547</v>
      </c>
      <c r="AG29" s="1" t="str">
        <f aca="false">DEC2HEX(AF29)</f>
        <v>1D0003</v>
      </c>
    </row>
    <row r="30" customFormat="false" ht="13.5" hidden="false" customHeight="false" outlineLevel="0" collapsed="false">
      <c r="A30" s="1" t="s">
        <v>42</v>
      </c>
      <c r="B30" s="1" t="n">
        <v>2</v>
      </c>
      <c r="P30" s="1" t="n">
        <v>29</v>
      </c>
      <c r="Q30" s="1" t="n">
        <f aca="false">B30*B$1</f>
        <v>2</v>
      </c>
      <c r="R30" s="1" t="n">
        <f aca="false">C30*C$1</f>
        <v>0</v>
      </c>
      <c r="S30" s="1" t="n">
        <f aca="false">D30*D$1</f>
        <v>0</v>
      </c>
      <c r="T30" s="1" t="n">
        <f aca="false">E30*E$1</f>
        <v>0</v>
      </c>
      <c r="U30" s="1" t="n">
        <f aca="false">F30*F$1</f>
        <v>0</v>
      </c>
      <c r="V30" s="1" t="n">
        <f aca="false">G30*G$1</f>
        <v>0</v>
      </c>
      <c r="W30" s="1" t="n">
        <f aca="false">H30*H$1</f>
        <v>0</v>
      </c>
      <c r="X30" s="1" t="n">
        <f aca="false">I30*I$1</f>
        <v>0</v>
      </c>
      <c r="Y30" s="1" t="n">
        <f aca="false">J30*J$1</f>
        <v>0</v>
      </c>
      <c r="Z30" s="1" t="n">
        <f aca="false">K30*K$1</f>
        <v>0</v>
      </c>
      <c r="AA30" s="1" t="n">
        <f aca="false">L30*L$1</f>
        <v>0</v>
      </c>
      <c r="AB30" s="1" t="n">
        <f aca="false">M30*M$1</f>
        <v>0</v>
      </c>
      <c r="AC30" s="1" t="n">
        <f aca="false">N30*N$1</f>
        <v>0</v>
      </c>
      <c r="AD30" s="1" t="n">
        <f aca="false">O30*O$1</f>
        <v>0</v>
      </c>
      <c r="AE30" s="1" t="n">
        <f aca="false">P30*P$1</f>
        <v>1900544</v>
      </c>
      <c r="AF30" s="1" t="n">
        <f aca="false">SUM(Q30:AE30)</f>
        <v>1900546</v>
      </c>
      <c r="AG30" s="1" t="str">
        <f aca="false">DEC2HEX(AF30)</f>
        <v>1D0002</v>
      </c>
    </row>
    <row r="31" customFormat="false" ht="13.5" hidden="false" customHeight="false" outlineLevel="0" collapsed="false">
      <c r="A31" s="1" t="s">
        <v>43</v>
      </c>
      <c r="B31" s="1" t="n">
        <v>1</v>
      </c>
      <c r="P31" s="1" t="n">
        <v>29</v>
      </c>
      <c r="Q31" s="1" t="n">
        <f aca="false">B31*B$1</f>
        <v>1</v>
      </c>
      <c r="R31" s="1" t="n">
        <f aca="false">C31*C$1</f>
        <v>0</v>
      </c>
      <c r="S31" s="1" t="n">
        <f aca="false">D31*D$1</f>
        <v>0</v>
      </c>
      <c r="T31" s="1" t="n">
        <f aca="false">E31*E$1</f>
        <v>0</v>
      </c>
      <c r="U31" s="1" t="n">
        <f aca="false">F31*F$1</f>
        <v>0</v>
      </c>
      <c r="V31" s="1" t="n">
        <f aca="false">G31*G$1</f>
        <v>0</v>
      </c>
      <c r="W31" s="1" t="n">
        <f aca="false">H31*H$1</f>
        <v>0</v>
      </c>
      <c r="X31" s="1" t="n">
        <f aca="false">I31*I$1</f>
        <v>0</v>
      </c>
      <c r="Y31" s="1" t="n">
        <f aca="false">J31*J$1</f>
        <v>0</v>
      </c>
      <c r="Z31" s="1" t="n">
        <f aca="false">K31*K$1</f>
        <v>0</v>
      </c>
      <c r="AA31" s="1" t="n">
        <f aca="false">L31*L$1</f>
        <v>0</v>
      </c>
      <c r="AB31" s="1" t="n">
        <f aca="false">M31*M$1</f>
        <v>0</v>
      </c>
      <c r="AC31" s="1" t="n">
        <f aca="false">N31*N$1</f>
        <v>0</v>
      </c>
      <c r="AD31" s="1" t="n">
        <f aca="false">O31*O$1</f>
        <v>0</v>
      </c>
      <c r="AE31" s="1" t="n">
        <f aca="false">P31*P$1</f>
        <v>1900544</v>
      </c>
      <c r="AF31" s="1" t="n">
        <f aca="false">SUM(Q31:AE31)</f>
        <v>1900545</v>
      </c>
      <c r="AG31" s="1" t="str">
        <f aca="false">DEC2HEX(AF31)</f>
        <v>1D0001</v>
      </c>
    </row>
    <row r="32" customFormat="false" ht="13.5" hidden="false" customHeight="false" outlineLevel="0" collapsed="false">
      <c r="A32" s="1" t="s">
        <v>44</v>
      </c>
      <c r="P32" s="1" t="n">
        <v>20</v>
      </c>
      <c r="Q32" s="1" t="n">
        <f aca="false">B32*B$1</f>
        <v>0</v>
      </c>
      <c r="R32" s="1" t="n">
        <f aca="false">C32*C$1</f>
        <v>0</v>
      </c>
      <c r="S32" s="1" t="n">
        <f aca="false">D32*D$1</f>
        <v>0</v>
      </c>
      <c r="T32" s="1" t="n">
        <f aca="false">E32*E$1</f>
        <v>0</v>
      </c>
      <c r="U32" s="1" t="n">
        <f aca="false">F32*F$1</f>
        <v>0</v>
      </c>
      <c r="V32" s="1" t="n">
        <f aca="false">G32*G$1</f>
        <v>0</v>
      </c>
      <c r="W32" s="1" t="n">
        <f aca="false">H32*H$1</f>
        <v>0</v>
      </c>
      <c r="X32" s="1" t="n">
        <f aca="false">I32*I$1</f>
        <v>0</v>
      </c>
      <c r="Y32" s="1" t="n">
        <f aca="false">J32*J$1</f>
        <v>0</v>
      </c>
      <c r="Z32" s="1" t="n">
        <f aca="false">K32*K$1</f>
        <v>0</v>
      </c>
      <c r="AA32" s="1" t="n">
        <f aca="false">L32*L$1</f>
        <v>0</v>
      </c>
      <c r="AB32" s="1" t="n">
        <f aca="false">M32*M$1</f>
        <v>0</v>
      </c>
      <c r="AC32" s="1" t="n">
        <f aca="false">N32*N$1</f>
        <v>0</v>
      </c>
      <c r="AD32" s="1" t="n">
        <f aca="false">O32*O$1</f>
        <v>0</v>
      </c>
      <c r="AE32" s="1" t="n">
        <f aca="false">P32*P$1</f>
        <v>1310720</v>
      </c>
      <c r="AF32" s="1" t="n">
        <f aca="false">SUM(Q32:AE32)</f>
        <v>1310720</v>
      </c>
      <c r="AG32" s="1" t="str">
        <f aca="false">DEC2HEX(AF32)</f>
        <v>140000</v>
      </c>
    </row>
    <row r="33" customFormat="false" ht="13.5" hidden="false" customHeight="false" outlineLevel="0" collapsed="false">
      <c r="A33" s="1" t="s">
        <v>45</v>
      </c>
      <c r="B33" s="1" t="n">
        <v>2</v>
      </c>
      <c r="P33" s="1" t="n">
        <v>2</v>
      </c>
      <c r="Q33" s="1" t="n">
        <f aca="false">B33*B$1</f>
        <v>2</v>
      </c>
      <c r="R33" s="1" t="n">
        <f aca="false">C33*C$1</f>
        <v>0</v>
      </c>
      <c r="S33" s="1" t="n">
        <f aca="false">D33*D$1</f>
        <v>0</v>
      </c>
      <c r="T33" s="1" t="n">
        <f aca="false">E33*E$1</f>
        <v>0</v>
      </c>
      <c r="U33" s="1" t="n">
        <f aca="false">F33*F$1</f>
        <v>0</v>
      </c>
      <c r="V33" s="1" t="n">
        <f aca="false">G33*G$1</f>
        <v>0</v>
      </c>
      <c r="W33" s="1" t="n">
        <f aca="false">H33*H$1</f>
        <v>0</v>
      </c>
      <c r="X33" s="1" t="n">
        <f aca="false">I33*I$1</f>
        <v>0</v>
      </c>
      <c r="Y33" s="1" t="n">
        <f aca="false">J33*J$1</f>
        <v>0</v>
      </c>
      <c r="Z33" s="1" t="n">
        <f aca="false">K33*K$1</f>
        <v>0</v>
      </c>
      <c r="AA33" s="1" t="n">
        <f aca="false">L33*L$1</f>
        <v>0</v>
      </c>
      <c r="AB33" s="1" t="n">
        <f aca="false">M33*M$1</f>
        <v>0</v>
      </c>
      <c r="AC33" s="1" t="n">
        <f aca="false">N33*N$1</f>
        <v>0</v>
      </c>
      <c r="AD33" s="1" t="n">
        <f aca="false">O33*O$1</f>
        <v>0</v>
      </c>
      <c r="AE33" s="1" t="n">
        <f aca="false">P33*P$1</f>
        <v>131072</v>
      </c>
      <c r="AF33" s="1" t="n">
        <f aca="false">SUM(Q33:AE33)</f>
        <v>131074</v>
      </c>
      <c r="AG33" s="1" t="str">
        <f aca="false">DEC2HEX(AF33)</f>
        <v>20002</v>
      </c>
    </row>
    <row r="34" customFormat="false" ht="13.5" hidden="false" customHeight="false" outlineLevel="0" collapsed="false">
      <c r="A34" s="1" t="s">
        <v>46</v>
      </c>
      <c r="B34" s="1" t="n">
        <v>1</v>
      </c>
      <c r="P34" s="1" t="n">
        <v>2</v>
      </c>
      <c r="Q34" s="1" t="n">
        <f aca="false">B34*B$1</f>
        <v>1</v>
      </c>
      <c r="R34" s="1" t="n">
        <f aca="false">C34*C$1</f>
        <v>0</v>
      </c>
      <c r="S34" s="1" t="n">
        <f aca="false">D34*D$1</f>
        <v>0</v>
      </c>
      <c r="T34" s="1" t="n">
        <f aca="false">E34*E$1</f>
        <v>0</v>
      </c>
      <c r="U34" s="1" t="n">
        <f aca="false">F34*F$1</f>
        <v>0</v>
      </c>
      <c r="V34" s="1" t="n">
        <f aca="false">G34*G$1</f>
        <v>0</v>
      </c>
      <c r="W34" s="1" t="n">
        <f aca="false">H34*H$1</f>
        <v>0</v>
      </c>
      <c r="X34" s="1" t="n">
        <f aca="false">I34*I$1</f>
        <v>0</v>
      </c>
      <c r="Y34" s="1" t="n">
        <f aca="false">J34*J$1</f>
        <v>0</v>
      </c>
      <c r="Z34" s="1" t="n">
        <f aca="false">K34*K$1</f>
        <v>0</v>
      </c>
      <c r="AA34" s="1" t="n">
        <f aca="false">L34*L$1</f>
        <v>0</v>
      </c>
      <c r="AB34" s="1" t="n">
        <f aca="false">M34*M$1</f>
        <v>0</v>
      </c>
      <c r="AC34" s="1" t="n">
        <f aca="false">N34*N$1</f>
        <v>0</v>
      </c>
      <c r="AD34" s="1" t="n">
        <f aca="false">O34*O$1</f>
        <v>0</v>
      </c>
      <c r="AE34" s="1" t="n">
        <f aca="false">P34*P$1</f>
        <v>131072</v>
      </c>
      <c r="AF34" s="1" t="n">
        <f aca="false">SUM(Q34:AE34)</f>
        <v>131073</v>
      </c>
      <c r="AG34" s="1" t="str">
        <f aca="false">DEC2HEX(AF34)</f>
        <v>20001</v>
      </c>
    </row>
    <row r="35" customFormat="false" ht="13.5" hidden="false" customHeight="false" outlineLevel="0" collapsed="false">
      <c r="A35" s="1" t="s">
        <v>47</v>
      </c>
      <c r="P35" s="1" t="n">
        <v>11</v>
      </c>
      <c r="Q35" s="1" t="n">
        <f aca="false">B35*B$1</f>
        <v>0</v>
      </c>
      <c r="R35" s="1" t="n">
        <f aca="false">C35*C$1</f>
        <v>0</v>
      </c>
      <c r="S35" s="1" t="n">
        <f aca="false">D35*D$1</f>
        <v>0</v>
      </c>
      <c r="T35" s="1" t="n">
        <f aca="false">E35*E$1</f>
        <v>0</v>
      </c>
      <c r="U35" s="1" t="n">
        <f aca="false">F35*F$1</f>
        <v>0</v>
      </c>
      <c r="V35" s="1" t="n">
        <f aca="false">G35*G$1</f>
        <v>0</v>
      </c>
      <c r="W35" s="1" t="n">
        <f aca="false">H35*H$1</f>
        <v>0</v>
      </c>
      <c r="X35" s="1" t="n">
        <f aca="false">I35*I$1</f>
        <v>0</v>
      </c>
      <c r="Y35" s="1" t="n">
        <f aca="false">J35*J$1</f>
        <v>0</v>
      </c>
      <c r="Z35" s="1" t="n">
        <f aca="false">K35*K$1</f>
        <v>0</v>
      </c>
      <c r="AA35" s="1" t="n">
        <f aca="false">L35*L$1</f>
        <v>0</v>
      </c>
      <c r="AB35" s="1" t="n">
        <f aca="false">M35*M$1</f>
        <v>0</v>
      </c>
      <c r="AC35" s="1" t="n">
        <f aca="false">N35*N$1</f>
        <v>0</v>
      </c>
      <c r="AD35" s="1" t="n">
        <f aca="false">O35*O$1</f>
        <v>0</v>
      </c>
      <c r="AE35" s="1" t="n">
        <f aca="false">P35*P$1</f>
        <v>720896</v>
      </c>
      <c r="AF35" s="1" t="n">
        <f aca="false">SUM(Q35:AE35)</f>
        <v>720896</v>
      </c>
      <c r="AG35" s="1" t="str">
        <f aca="false">DEC2HEX(AF35)</f>
        <v>B0000</v>
      </c>
    </row>
    <row r="36" customFormat="false" ht="13.5" hidden="false" customHeight="false" outlineLevel="0" collapsed="false">
      <c r="A36" s="1" t="s">
        <v>48</v>
      </c>
      <c r="P36" s="1" t="n">
        <v>14</v>
      </c>
      <c r="Q36" s="1" t="n">
        <f aca="false">B36*B$1</f>
        <v>0</v>
      </c>
      <c r="R36" s="1" t="n">
        <f aca="false">C36*C$1</f>
        <v>0</v>
      </c>
      <c r="S36" s="1" t="n">
        <f aca="false">D36*D$1</f>
        <v>0</v>
      </c>
      <c r="T36" s="1" t="n">
        <f aca="false">E36*E$1</f>
        <v>0</v>
      </c>
      <c r="U36" s="1" t="n">
        <f aca="false">F36*F$1</f>
        <v>0</v>
      </c>
      <c r="V36" s="1" t="n">
        <f aca="false">G36*G$1</f>
        <v>0</v>
      </c>
      <c r="W36" s="1" t="n">
        <f aca="false">H36*H$1</f>
        <v>0</v>
      </c>
      <c r="X36" s="1" t="n">
        <f aca="false">I36*I$1</f>
        <v>0</v>
      </c>
      <c r="Y36" s="1" t="n">
        <f aca="false">J36*J$1</f>
        <v>0</v>
      </c>
      <c r="Z36" s="1" t="n">
        <f aca="false">K36*K$1</f>
        <v>0</v>
      </c>
      <c r="AA36" s="1" t="n">
        <f aca="false">L36*L$1</f>
        <v>0</v>
      </c>
      <c r="AB36" s="1" t="n">
        <f aca="false">M36*M$1</f>
        <v>0</v>
      </c>
      <c r="AC36" s="1" t="n">
        <f aca="false">N36*N$1</f>
        <v>0</v>
      </c>
      <c r="AD36" s="1" t="n">
        <f aca="false">O36*O$1</f>
        <v>0</v>
      </c>
      <c r="AE36" s="1" t="n">
        <f aca="false">P36*P$1</f>
        <v>917504</v>
      </c>
      <c r="AF36" s="1" t="n">
        <f aca="false">SUM(Q36:AE36)</f>
        <v>917504</v>
      </c>
      <c r="AG36" s="1" t="str">
        <f aca="false">DEC2HEX(AF36)</f>
        <v>E0000</v>
      </c>
    </row>
    <row r="37" customFormat="false" ht="13.5" hidden="false" customHeight="false" outlineLevel="0" collapsed="false">
      <c r="A37" s="1" t="s">
        <v>49</v>
      </c>
      <c r="P37" s="1" t="n">
        <v>13</v>
      </c>
      <c r="Q37" s="1" t="n">
        <f aca="false">B37*B$1</f>
        <v>0</v>
      </c>
      <c r="R37" s="1" t="n">
        <f aca="false">C37*C$1</f>
        <v>0</v>
      </c>
      <c r="S37" s="1" t="n">
        <f aca="false">D37*D$1</f>
        <v>0</v>
      </c>
      <c r="T37" s="1" t="n">
        <f aca="false">E37*E$1</f>
        <v>0</v>
      </c>
      <c r="U37" s="1" t="n">
        <f aca="false">F37*F$1</f>
        <v>0</v>
      </c>
      <c r="V37" s="1" t="n">
        <f aca="false">G37*G$1</f>
        <v>0</v>
      </c>
      <c r="W37" s="1" t="n">
        <f aca="false">H37*H$1</f>
        <v>0</v>
      </c>
      <c r="X37" s="1" t="n">
        <f aca="false">I37*I$1</f>
        <v>0</v>
      </c>
      <c r="Y37" s="1" t="n">
        <f aca="false">J37*J$1</f>
        <v>0</v>
      </c>
      <c r="Z37" s="1" t="n">
        <f aca="false">K37*K$1</f>
        <v>0</v>
      </c>
      <c r="AA37" s="1" t="n">
        <f aca="false">L37*L$1</f>
        <v>0</v>
      </c>
      <c r="AB37" s="1" t="n">
        <f aca="false">M37*M$1</f>
        <v>0</v>
      </c>
      <c r="AC37" s="1" t="n">
        <f aca="false">N37*N$1</f>
        <v>0</v>
      </c>
      <c r="AD37" s="1" t="n">
        <f aca="false">O37*O$1</f>
        <v>0</v>
      </c>
      <c r="AE37" s="1" t="n">
        <f aca="false">P37*P$1</f>
        <v>851968</v>
      </c>
      <c r="AF37" s="1" t="n">
        <f aca="false">SUM(Q37:AE37)</f>
        <v>851968</v>
      </c>
      <c r="AG37" s="1" t="str">
        <f aca="false">DEC2HEX(AF37)</f>
        <v>D0000</v>
      </c>
    </row>
    <row r="38" customFormat="false" ht="13.5" hidden="false" customHeight="false" outlineLevel="0" collapsed="false">
      <c r="A38" s="1" t="s">
        <v>50</v>
      </c>
      <c r="H38" s="1" t="n">
        <v>1</v>
      </c>
      <c r="Q38" s="1" t="n">
        <f aca="false">B38*B$1</f>
        <v>0</v>
      </c>
      <c r="R38" s="1" t="n">
        <f aca="false">C38*C$1</f>
        <v>0</v>
      </c>
      <c r="S38" s="1" t="n">
        <f aca="false">D38*D$1</f>
        <v>0</v>
      </c>
      <c r="T38" s="1" t="n">
        <f aca="false">E38*E$1</f>
        <v>0</v>
      </c>
      <c r="U38" s="1" t="n">
        <f aca="false">F38*F$1</f>
        <v>0</v>
      </c>
      <c r="V38" s="1" t="n">
        <f aca="false">G38*G$1</f>
        <v>0</v>
      </c>
      <c r="W38" s="1" t="n">
        <f aca="false">H38*H$1</f>
        <v>1024</v>
      </c>
      <c r="X38" s="1" t="n">
        <f aca="false">I38*I$1</f>
        <v>0</v>
      </c>
      <c r="Y38" s="1" t="n">
        <f aca="false">J38*J$1</f>
        <v>0</v>
      </c>
      <c r="Z38" s="1" t="n">
        <f aca="false">K38*K$1</f>
        <v>0</v>
      </c>
      <c r="AA38" s="1" t="n">
        <f aca="false">L38*L$1</f>
        <v>0</v>
      </c>
      <c r="AB38" s="1" t="n">
        <f aca="false">M38*M$1</f>
        <v>0</v>
      </c>
      <c r="AC38" s="1" t="n">
        <f aca="false">N38*N$1</f>
        <v>0</v>
      </c>
      <c r="AD38" s="1" t="n">
        <f aca="false">O38*O$1</f>
        <v>0</v>
      </c>
      <c r="AE38" s="1" t="n">
        <f aca="false">P38*P$1</f>
        <v>0</v>
      </c>
      <c r="AF38" s="1" t="n">
        <f aca="false">SUM(Q38:AE38)</f>
        <v>1024</v>
      </c>
      <c r="AG38" s="1" t="str">
        <f aca="false">DEC2HEX(AF38)</f>
        <v>400</v>
      </c>
    </row>
    <row r="39" customFormat="false" ht="13.5" hidden="false" customHeight="false" outlineLevel="0" collapsed="false">
      <c r="A39" s="1" t="s">
        <v>51</v>
      </c>
      <c r="H39" s="1" t="n">
        <v>1</v>
      </c>
      <c r="P39" s="1" t="n">
        <v>28</v>
      </c>
      <c r="Q39" s="1" t="n">
        <f aca="false">B39*B$1</f>
        <v>0</v>
      </c>
      <c r="R39" s="1" t="n">
        <f aca="false">C39*C$1</f>
        <v>0</v>
      </c>
      <c r="S39" s="1" t="n">
        <f aca="false">D39*D$1</f>
        <v>0</v>
      </c>
      <c r="T39" s="1" t="n">
        <f aca="false">E39*E$1</f>
        <v>0</v>
      </c>
      <c r="U39" s="1" t="n">
        <f aca="false">F39*F$1</f>
        <v>0</v>
      </c>
      <c r="V39" s="1" t="n">
        <f aca="false">G39*G$1</f>
        <v>0</v>
      </c>
      <c r="W39" s="1" t="n">
        <f aca="false">H39*H$1</f>
        <v>1024</v>
      </c>
      <c r="X39" s="1" t="n">
        <f aca="false">I39*I$1</f>
        <v>0</v>
      </c>
      <c r="Y39" s="1" t="n">
        <f aca="false">J39*J$1</f>
        <v>0</v>
      </c>
      <c r="Z39" s="1" t="n">
        <f aca="false">K39*K$1</f>
        <v>0</v>
      </c>
      <c r="AA39" s="1" t="n">
        <f aca="false">L39*L$1</f>
        <v>0</v>
      </c>
      <c r="AB39" s="1" t="n">
        <f aca="false">M39*M$1</f>
        <v>0</v>
      </c>
      <c r="AC39" s="1" t="n">
        <f aca="false">N39*N$1</f>
        <v>0</v>
      </c>
      <c r="AD39" s="1" t="n">
        <f aca="false">O39*O$1</f>
        <v>0</v>
      </c>
      <c r="AE39" s="1" t="n">
        <f aca="false">P39*P$1</f>
        <v>1835008</v>
      </c>
      <c r="AF39" s="1" t="n">
        <f aca="false">SUM(Q39:AE39)</f>
        <v>1836032</v>
      </c>
      <c r="AG39" s="1" t="str">
        <f aca="false">DEC2HEX(AF39)</f>
        <v>1C0400</v>
      </c>
    </row>
    <row r="40" customFormat="false" ht="13.5" hidden="false" customHeight="false" outlineLevel="0" collapsed="false">
      <c r="A40" s="1" t="s">
        <v>52</v>
      </c>
      <c r="H40" s="1" t="n">
        <v>1</v>
      </c>
      <c r="M40" s="1" t="n">
        <v>1</v>
      </c>
      <c r="Q40" s="1" t="n">
        <f aca="false">B40*B$1</f>
        <v>0</v>
      </c>
      <c r="R40" s="1" t="n">
        <f aca="false">C40*C$1</f>
        <v>0</v>
      </c>
      <c r="S40" s="1" t="n">
        <f aca="false">D40*D$1</f>
        <v>0</v>
      </c>
      <c r="T40" s="1" t="n">
        <f aca="false">E40*E$1</f>
        <v>0</v>
      </c>
      <c r="U40" s="1" t="n">
        <f aca="false">F40*F$1</f>
        <v>0</v>
      </c>
      <c r="V40" s="1" t="n">
        <f aca="false">G40*G$1</f>
        <v>0</v>
      </c>
      <c r="W40" s="1" t="n">
        <f aca="false">H40*H$1</f>
        <v>1024</v>
      </c>
      <c r="X40" s="1" t="n">
        <f aca="false">I40*I$1</f>
        <v>0</v>
      </c>
      <c r="Y40" s="1" t="n">
        <f aca="false">J40*J$1</f>
        <v>0</v>
      </c>
      <c r="Z40" s="1" t="n">
        <f aca="false">K40*K$1</f>
        <v>0</v>
      </c>
      <c r="AA40" s="1" t="n">
        <f aca="false">L40*L$1</f>
        <v>0</v>
      </c>
      <c r="AB40" s="1" t="n">
        <f aca="false">M40*M$1</f>
        <v>32</v>
      </c>
      <c r="AC40" s="1" t="n">
        <f aca="false">N40*N$1</f>
        <v>0</v>
      </c>
      <c r="AD40" s="1" t="n">
        <f aca="false">O40*O$1</f>
        <v>0</v>
      </c>
      <c r="AE40" s="1" t="n">
        <f aca="false">P40*P$1</f>
        <v>0</v>
      </c>
      <c r="AF40" s="1" t="n">
        <f aca="false">SUM(Q40:AE40)</f>
        <v>1056</v>
      </c>
      <c r="AG40" s="1" t="str">
        <f aca="false">DEC2HEX(AF40)</f>
        <v>420</v>
      </c>
    </row>
    <row r="41" customFormat="false" ht="13.5" hidden="false" customHeight="false" outlineLevel="0" collapsed="false">
      <c r="A41" s="1" t="s">
        <v>53</v>
      </c>
      <c r="H41" s="1" t="n">
        <v>1</v>
      </c>
      <c r="M41" s="1" t="n">
        <v>1</v>
      </c>
      <c r="P41" s="1" t="n">
        <v>27</v>
      </c>
      <c r="Q41" s="1" t="n">
        <f aca="false">B41*B$1</f>
        <v>0</v>
      </c>
      <c r="R41" s="1" t="n">
        <f aca="false">C41*C$1</f>
        <v>0</v>
      </c>
      <c r="S41" s="1" t="n">
        <f aca="false">D41*D$1</f>
        <v>0</v>
      </c>
      <c r="T41" s="1" t="n">
        <f aca="false">E41*E$1</f>
        <v>0</v>
      </c>
      <c r="U41" s="1" t="n">
        <f aca="false">F41*F$1</f>
        <v>0</v>
      </c>
      <c r="V41" s="1" t="n">
        <f aca="false">G41*G$1</f>
        <v>0</v>
      </c>
      <c r="W41" s="1" t="n">
        <f aca="false">H41*H$1</f>
        <v>1024</v>
      </c>
      <c r="X41" s="1" t="n">
        <f aca="false">I41*I$1</f>
        <v>0</v>
      </c>
      <c r="Y41" s="1" t="n">
        <f aca="false">J41*J$1</f>
        <v>0</v>
      </c>
      <c r="Z41" s="1" t="n">
        <f aca="false">K41*K$1</f>
        <v>0</v>
      </c>
      <c r="AA41" s="1" t="n">
        <f aca="false">L41*L$1</f>
        <v>0</v>
      </c>
      <c r="AB41" s="1" t="n">
        <f aca="false">M41*M$1</f>
        <v>32</v>
      </c>
      <c r="AC41" s="1" t="n">
        <f aca="false">N41*N$1</f>
        <v>0</v>
      </c>
      <c r="AD41" s="1" t="n">
        <f aca="false">O41*O$1</f>
        <v>0</v>
      </c>
      <c r="AE41" s="1" t="n">
        <f aca="false">P41*P$1</f>
        <v>1769472</v>
      </c>
      <c r="AF41" s="1" t="n">
        <f aca="false">SUM(Q41:AE41)</f>
        <v>1770528</v>
      </c>
      <c r="AG41" s="1" t="str">
        <f aca="false">DEC2HEX(AF41)</f>
        <v>1B0420</v>
      </c>
    </row>
    <row r="42" customFormat="false" ht="13.5" hidden="false" customHeight="false" outlineLevel="0" collapsed="false">
      <c r="A42" s="1" t="s">
        <v>54</v>
      </c>
      <c r="H42" s="1" t="n">
        <v>1</v>
      </c>
      <c r="N42" s="1" t="n">
        <v>1</v>
      </c>
      <c r="Q42" s="1" t="n">
        <f aca="false">B42*B$1</f>
        <v>0</v>
      </c>
      <c r="R42" s="1" t="n">
        <f aca="false">C42*C$1</f>
        <v>0</v>
      </c>
      <c r="S42" s="1" t="n">
        <f aca="false">D42*D$1</f>
        <v>0</v>
      </c>
      <c r="T42" s="1" t="n">
        <f aca="false">E42*E$1</f>
        <v>0</v>
      </c>
      <c r="U42" s="1" t="n">
        <f aca="false">F42*F$1</f>
        <v>0</v>
      </c>
      <c r="V42" s="1" t="n">
        <f aca="false">G42*G$1</f>
        <v>0</v>
      </c>
      <c r="W42" s="1" t="n">
        <f aca="false">H42*H$1</f>
        <v>1024</v>
      </c>
      <c r="X42" s="1" t="n">
        <f aca="false">I42*I$1</f>
        <v>0</v>
      </c>
      <c r="Y42" s="1" t="n">
        <f aca="false">J42*J$1</f>
        <v>0</v>
      </c>
      <c r="Z42" s="1" t="n">
        <f aca="false">K42*K$1</f>
        <v>0</v>
      </c>
      <c r="AA42" s="1" t="n">
        <f aca="false">L42*L$1</f>
        <v>0</v>
      </c>
      <c r="AB42" s="1" t="n">
        <f aca="false">M42*M$1</f>
        <v>0</v>
      </c>
      <c r="AC42" s="1" t="n">
        <f aca="false">N42*N$1</f>
        <v>16</v>
      </c>
      <c r="AD42" s="1" t="n">
        <f aca="false">O42*O$1</f>
        <v>0</v>
      </c>
      <c r="AE42" s="1" t="n">
        <f aca="false">P42*P$1</f>
        <v>0</v>
      </c>
      <c r="AF42" s="1" t="n">
        <f aca="false">SUM(Q42:AE42)</f>
        <v>1040</v>
      </c>
      <c r="AG42" s="1" t="str">
        <f aca="false">DEC2HEX(AF42)</f>
        <v>410</v>
      </c>
    </row>
    <row r="43" customFormat="false" ht="13.5" hidden="false" customHeight="false" outlineLevel="0" collapsed="false">
      <c r="A43" s="1" t="s">
        <v>55</v>
      </c>
      <c r="P43" s="1" t="n">
        <v>26</v>
      </c>
      <c r="Q43" s="1" t="n">
        <f aca="false">B43*B$1</f>
        <v>0</v>
      </c>
      <c r="R43" s="1" t="n">
        <f aca="false">C43*C$1</f>
        <v>0</v>
      </c>
      <c r="S43" s="1" t="n">
        <f aca="false">D43*D$1</f>
        <v>0</v>
      </c>
      <c r="T43" s="1" t="n">
        <f aca="false">E43*E$1</f>
        <v>0</v>
      </c>
      <c r="U43" s="1" t="n">
        <f aca="false">F43*F$1</f>
        <v>0</v>
      </c>
      <c r="V43" s="1" t="n">
        <f aca="false">G43*G$1</f>
        <v>0</v>
      </c>
      <c r="W43" s="1" t="n">
        <f aca="false">H43*H$1</f>
        <v>0</v>
      </c>
      <c r="X43" s="1" t="n">
        <f aca="false">I43*I$1</f>
        <v>0</v>
      </c>
      <c r="Y43" s="1" t="n">
        <f aca="false">J43*J$1</f>
        <v>0</v>
      </c>
      <c r="Z43" s="1" t="n">
        <f aca="false">K43*K$1</f>
        <v>0</v>
      </c>
      <c r="AA43" s="1" t="n">
        <f aca="false">L43*L$1</f>
        <v>0</v>
      </c>
      <c r="AB43" s="1" t="n">
        <f aca="false">M43*M$1</f>
        <v>0</v>
      </c>
      <c r="AC43" s="1" t="n">
        <f aca="false">N43*N$1</f>
        <v>0</v>
      </c>
      <c r="AD43" s="1" t="n">
        <f aca="false">O43*O$1</f>
        <v>0</v>
      </c>
      <c r="AE43" s="1" t="n">
        <f aca="false">P43*P$1</f>
        <v>1703936</v>
      </c>
      <c r="AF43" s="1" t="n">
        <f aca="false">SUM(Q43:AE43)</f>
        <v>1703936</v>
      </c>
      <c r="AG43" s="1" t="str">
        <f aca="false">DEC2HEX(AF43)</f>
        <v>1A0000</v>
      </c>
    </row>
    <row r="44" customFormat="false" ht="13.5" hidden="false" customHeight="false" outlineLevel="0" collapsed="false">
      <c r="A44" s="1" t="s">
        <v>56</v>
      </c>
      <c r="P44" s="1" t="n">
        <v>19</v>
      </c>
      <c r="Q44" s="1" t="n">
        <f aca="false">B44*B$1</f>
        <v>0</v>
      </c>
      <c r="R44" s="1" t="n">
        <f aca="false">C44*C$1</f>
        <v>0</v>
      </c>
      <c r="S44" s="1" t="n">
        <f aca="false">D44*D$1</f>
        <v>0</v>
      </c>
      <c r="T44" s="1" t="n">
        <f aca="false">E44*E$1</f>
        <v>0</v>
      </c>
      <c r="U44" s="1" t="n">
        <f aca="false">F44*F$1</f>
        <v>0</v>
      </c>
      <c r="V44" s="1" t="n">
        <f aca="false">G44*G$1</f>
        <v>0</v>
      </c>
      <c r="W44" s="1" t="n">
        <f aca="false">H44*H$1</f>
        <v>0</v>
      </c>
      <c r="X44" s="1" t="n">
        <f aca="false">I44*I$1</f>
        <v>0</v>
      </c>
      <c r="Y44" s="1" t="n">
        <f aca="false">J44*J$1</f>
        <v>0</v>
      </c>
      <c r="Z44" s="1" t="n">
        <f aca="false">K44*K$1</f>
        <v>0</v>
      </c>
      <c r="AA44" s="1" t="n">
        <f aca="false">L44*L$1</f>
        <v>0</v>
      </c>
      <c r="AB44" s="1" t="n">
        <f aca="false">M44*M$1</f>
        <v>0</v>
      </c>
      <c r="AC44" s="1" t="n">
        <f aca="false">N44*N$1</f>
        <v>0</v>
      </c>
      <c r="AD44" s="1" t="n">
        <f aca="false">O44*O$1</f>
        <v>0</v>
      </c>
      <c r="AE44" s="1" t="n">
        <f aca="false">P44*P$1</f>
        <v>1245184</v>
      </c>
      <c r="AF44" s="1" t="n">
        <f aca="false">SUM(Q44:AE44)</f>
        <v>1245184</v>
      </c>
      <c r="AG44" s="1" t="str">
        <f aca="false">DEC2HEX(AF44)</f>
        <v>130000</v>
      </c>
    </row>
    <row r="45" customFormat="false" ht="13.5" hidden="false" customHeight="false" outlineLevel="0" collapsed="false">
      <c r="A45" s="1" t="s">
        <v>57</v>
      </c>
      <c r="P45" s="1" t="n">
        <v>31</v>
      </c>
      <c r="Q45" s="1" t="n">
        <f aca="false">B45*B$1</f>
        <v>0</v>
      </c>
      <c r="R45" s="1" t="n">
        <f aca="false">C45*C$1</f>
        <v>0</v>
      </c>
      <c r="S45" s="1" t="n">
        <f aca="false">D45*D$1</f>
        <v>0</v>
      </c>
      <c r="T45" s="1" t="n">
        <f aca="false">E45*E$1</f>
        <v>0</v>
      </c>
      <c r="U45" s="1" t="n">
        <f aca="false">F45*F$1</f>
        <v>0</v>
      </c>
      <c r="V45" s="1" t="n">
        <f aca="false">G45*G$1</f>
        <v>0</v>
      </c>
      <c r="W45" s="1" t="n">
        <f aca="false">H45*H$1</f>
        <v>0</v>
      </c>
      <c r="X45" s="1" t="n">
        <f aca="false">I45*I$1</f>
        <v>0</v>
      </c>
      <c r="Y45" s="1" t="n">
        <f aca="false">J45*J$1</f>
        <v>0</v>
      </c>
      <c r="Z45" s="1" t="n">
        <f aca="false">K45*K$1</f>
        <v>0</v>
      </c>
      <c r="AA45" s="1" t="n">
        <f aca="false">L45*L$1</f>
        <v>0</v>
      </c>
      <c r="AB45" s="1" t="n">
        <f aca="false">M45*M$1</f>
        <v>0</v>
      </c>
      <c r="AC45" s="1" t="n">
        <f aca="false">N45*N$1</f>
        <v>0</v>
      </c>
      <c r="AD45" s="1" t="n">
        <f aca="false">O45*O$1</f>
        <v>0</v>
      </c>
      <c r="AE45" s="1" t="n">
        <f aca="false">P45*P$1</f>
        <v>2031616</v>
      </c>
      <c r="AF45" s="1" t="n">
        <f aca="false">SUM(Q45:AE45)</f>
        <v>2031616</v>
      </c>
      <c r="AG45" s="1" t="str">
        <f aca="false">DEC2HEX(AF45)</f>
        <v>1F0000</v>
      </c>
    </row>
    <row r="46" customFormat="false" ht="13.5" hidden="false" customHeight="false" outlineLevel="0" collapsed="false">
      <c r="A46" s="1" t="s">
        <v>58</v>
      </c>
      <c r="P46" s="1" t="n">
        <v>9</v>
      </c>
      <c r="Q46" s="1" t="n">
        <f aca="false">B46*B$1</f>
        <v>0</v>
      </c>
      <c r="R46" s="1" t="n">
        <f aca="false">C46*C$1</f>
        <v>0</v>
      </c>
      <c r="S46" s="1" t="n">
        <f aca="false">D46*D$1</f>
        <v>0</v>
      </c>
      <c r="T46" s="1" t="n">
        <f aca="false">E46*E$1</f>
        <v>0</v>
      </c>
      <c r="U46" s="1" t="n">
        <f aca="false">F46*F$1</f>
        <v>0</v>
      </c>
      <c r="V46" s="1" t="n">
        <f aca="false">G46*G$1</f>
        <v>0</v>
      </c>
      <c r="W46" s="1" t="n">
        <f aca="false">H46*H$1</f>
        <v>0</v>
      </c>
      <c r="X46" s="1" t="n">
        <f aca="false">I46*I$1</f>
        <v>0</v>
      </c>
      <c r="Y46" s="1" t="n">
        <f aca="false">J46*J$1</f>
        <v>0</v>
      </c>
      <c r="Z46" s="1" t="n">
        <f aca="false">K46*K$1</f>
        <v>0</v>
      </c>
      <c r="AA46" s="1" t="n">
        <f aca="false">L46*L$1</f>
        <v>0</v>
      </c>
      <c r="AB46" s="1" t="n">
        <f aca="false">M46*M$1</f>
        <v>0</v>
      </c>
      <c r="AC46" s="1" t="n">
        <f aca="false">N46*N$1</f>
        <v>0</v>
      </c>
      <c r="AD46" s="1" t="n">
        <f aca="false">O46*O$1</f>
        <v>0</v>
      </c>
      <c r="AE46" s="1" t="n">
        <f aca="false">P46*P$1</f>
        <v>589824</v>
      </c>
      <c r="AF46" s="1" t="n">
        <f aca="false">SUM(Q46:AE46)</f>
        <v>589824</v>
      </c>
      <c r="AG46" s="1" t="str">
        <f aca="false">DEC2HEX(AF46)</f>
        <v>90000</v>
      </c>
    </row>
    <row r="47" customFormat="false" ht="13.5" hidden="false" customHeight="false" outlineLevel="0" collapsed="false">
      <c r="A47" s="1" t="s">
        <v>59</v>
      </c>
      <c r="P47" s="1" t="n">
        <v>10</v>
      </c>
      <c r="Q47" s="1" t="n">
        <f aca="false">B47*B$1</f>
        <v>0</v>
      </c>
      <c r="R47" s="1" t="n">
        <f aca="false">C47*C$1</f>
        <v>0</v>
      </c>
      <c r="S47" s="1" t="n">
        <f aca="false">D47*D$1</f>
        <v>0</v>
      </c>
      <c r="T47" s="1" t="n">
        <f aca="false">E47*E$1</f>
        <v>0</v>
      </c>
      <c r="U47" s="1" t="n">
        <f aca="false">F47*F$1</f>
        <v>0</v>
      </c>
      <c r="V47" s="1" t="n">
        <f aca="false">G47*G$1</f>
        <v>0</v>
      </c>
      <c r="W47" s="1" t="n">
        <f aca="false">H47*H$1</f>
        <v>0</v>
      </c>
      <c r="X47" s="1" t="n">
        <f aca="false">I47*I$1</f>
        <v>0</v>
      </c>
      <c r="Y47" s="1" t="n">
        <f aca="false">J47*J$1</f>
        <v>0</v>
      </c>
      <c r="Z47" s="1" t="n">
        <f aca="false">K47*K$1</f>
        <v>0</v>
      </c>
      <c r="AA47" s="1" t="n">
        <f aca="false">L47*L$1</f>
        <v>0</v>
      </c>
      <c r="AB47" s="1" t="n">
        <f aca="false">M47*M$1</f>
        <v>0</v>
      </c>
      <c r="AC47" s="1" t="n">
        <f aca="false">N47*N$1</f>
        <v>0</v>
      </c>
      <c r="AD47" s="1" t="n">
        <f aca="false">O47*O$1</f>
        <v>0</v>
      </c>
      <c r="AE47" s="1" t="n">
        <f aca="false">P47*P$1</f>
        <v>655360</v>
      </c>
      <c r="AF47" s="1" t="n">
        <f aca="false">SUM(Q47:AE47)</f>
        <v>655360</v>
      </c>
      <c r="AG47" s="1" t="str">
        <f aca="false">DEC2HEX(AF47)</f>
        <v>A0000</v>
      </c>
    </row>
    <row r="48" customFormat="false" ht="13.5" hidden="false" customHeight="false" outlineLevel="0" collapsed="false">
      <c r="A48" s="1" t="s">
        <v>60</v>
      </c>
      <c r="B48" s="1" t="n">
        <v>2</v>
      </c>
      <c r="C48" s="1" t="n">
        <v>1</v>
      </c>
      <c r="E48" s="1" t="n">
        <v>1</v>
      </c>
      <c r="Q48" s="1" t="n">
        <f aca="false">B48*B$1</f>
        <v>2</v>
      </c>
      <c r="R48" s="1" t="n">
        <f aca="false">C48*C$1</f>
        <v>32768</v>
      </c>
      <c r="S48" s="1" t="n">
        <f aca="false">D48*D$1</f>
        <v>0</v>
      </c>
      <c r="T48" s="1" t="n">
        <f aca="false">E48*E$1</f>
        <v>8192</v>
      </c>
      <c r="U48" s="1" t="n">
        <f aca="false">F48*F$1</f>
        <v>0</v>
      </c>
      <c r="V48" s="1" t="n">
        <f aca="false">G48*G$1</f>
        <v>0</v>
      </c>
      <c r="W48" s="1" t="n">
        <f aca="false">H48*H$1</f>
        <v>0</v>
      </c>
      <c r="X48" s="1" t="n">
        <f aca="false">I48*I$1</f>
        <v>0</v>
      </c>
      <c r="Y48" s="1" t="n">
        <f aca="false">J48*J$1</f>
        <v>0</v>
      </c>
      <c r="Z48" s="1" t="n">
        <f aca="false">K48*K$1</f>
        <v>0</v>
      </c>
      <c r="AA48" s="1" t="n">
        <f aca="false">L48*L$1</f>
        <v>0</v>
      </c>
      <c r="AB48" s="1" t="n">
        <f aca="false">M48*M$1</f>
        <v>0</v>
      </c>
      <c r="AC48" s="1" t="n">
        <f aca="false">N48*N$1</f>
        <v>0</v>
      </c>
      <c r="AD48" s="1" t="n">
        <f aca="false">O48*O$1</f>
        <v>0</v>
      </c>
      <c r="AE48" s="1" t="n">
        <f aca="false">P48*P$1</f>
        <v>0</v>
      </c>
      <c r="AF48" s="1" t="n">
        <f aca="false">SUM(Q48:AE48)</f>
        <v>40962</v>
      </c>
      <c r="AG48" s="1" t="str">
        <f aca="false">DEC2HEX(AF48)</f>
        <v>A002</v>
      </c>
    </row>
    <row r="49" customFormat="false" ht="13.5" hidden="false" customHeight="false" outlineLevel="0" collapsed="false">
      <c r="A49" s="1" t="s">
        <v>61</v>
      </c>
      <c r="B49" s="1" t="n">
        <v>2</v>
      </c>
      <c r="C49" s="1" t="n">
        <v>1</v>
      </c>
      <c r="Q49" s="1" t="n">
        <f aca="false">B49*B$1</f>
        <v>2</v>
      </c>
      <c r="R49" s="1" t="n">
        <f aca="false">C49*C$1</f>
        <v>32768</v>
      </c>
      <c r="S49" s="1" t="n">
        <f aca="false">D49*D$1</f>
        <v>0</v>
      </c>
      <c r="T49" s="1" t="n">
        <f aca="false">E49*E$1</f>
        <v>0</v>
      </c>
      <c r="U49" s="1" t="n">
        <f aca="false">F49*F$1</f>
        <v>0</v>
      </c>
      <c r="V49" s="1" t="n">
        <f aca="false">G49*G$1</f>
        <v>0</v>
      </c>
      <c r="W49" s="1" t="n">
        <f aca="false">H49*H$1</f>
        <v>0</v>
      </c>
      <c r="X49" s="1" t="n">
        <f aca="false">I49*I$1</f>
        <v>0</v>
      </c>
      <c r="Y49" s="1" t="n">
        <f aca="false">J49*J$1</f>
        <v>0</v>
      </c>
      <c r="Z49" s="1" t="n">
        <f aca="false">K49*K$1</f>
        <v>0</v>
      </c>
      <c r="AA49" s="1" t="n">
        <f aca="false">L49*L$1</f>
        <v>0</v>
      </c>
      <c r="AB49" s="1" t="n">
        <f aca="false">M49*M$1</f>
        <v>0</v>
      </c>
      <c r="AC49" s="1" t="n">
        <f aca="false">N49*N$1</f>
        <v>0</v>
      </c>
      <c r="AD49" s="1" t="n">
        <f aca="false">O49*O$1</f>
        <v>0</v>
      </c>
      <c r="AE49" s="1" t="n">
        <f aca="false">P49*P$1</f>
        <v>0</v>
      </c>
      <c r="AF49" s="1" t="n">
        <f aca="false">SUM(Q49:AE49)</f>
        <v>32770</v>
      </c>
      <c r="AG49" s="1" t="str">
        <f aca="false">DEC2HEX(AF49)</f>
        <v>8002</v>
      </c>
    </row>
    <row r="50" customFormat="false" ht="13.5" hidden="false" customHeight="false" outlineLevel="0" collapsed="false">
      <c r="A50" s="1" t="s">
        <v>62</v>
      </c>
      <c r="B50" s="1" t="n">
        <v>3</v>
      </c>
      <c r="C50" s="1" t="n">
        <v>1</v>
      </c>
      <c r="Q50" s="1" t="n">
        <f aca="false">B50*B$1</f>
        <v>3</v>
      </c>
      <c r="R50" s="1" t="n">
        <f aca="false">C50*C$1</f>
        <v>32768</v>
      </c>
      <c r="S50" s="1" t="n">
        <f aca="false">D50*D$1</f>
        <v>0</v>
      </c>
      <c r="T50" s="1" t="n">
        <f aca="false">E50*E$1</f>
        <v>0</v>
      </c>
      <c r="U50" s="1" t="n">
        <f aca="false">F50*F$1</f>
        <v>0</v>
      </c>
      <c r="V50" s="1" t="n">
        <f aca="false">G50*G$1</f>
        <v>0</v>
      </c>
      <c r="W50" s="1" t="n">
        <f aca="false">H50*H$1</f>
        <v>0</v>
      </c>
      <c r="X50" s="1" t="n">
        <f aca="false">I50*I$1</f>
        <v>0</v>
      </c>
      <c r="Y50" s="1" t="n">
        <f aca="false">J50*J$1</f>
        <v>0</v>
      </c>
      <c r="Z50" s="1" t="n">
        <f aca="false">K50*K$1</f>
        <v>0</v>
      </c>
      <c r="AA50" s="1" t="n">
        <f aca="false">L50*L$1</f>
        <v>0</v>
      </c>
      <c r="AB50" s="1" t="n">
        <f aca="false">M50*M$1</f>
        <v>0</v>
      </c>
      <c r="AC50" s="1" t="n">
        <f aca="false">N50*N$1</f>
        <v>0</v>
      </c>
      <c r="AD50" s="1" t="n">
        <f aca="false">O50*O$1</f>
        <v>0</v>
      </c>
      <c r="AE50" s="1" t="n">
        <f aca="false">P50*P$1</f>
        <v>0</v>
      </c>
      <c r="AF50" s="1" t="n">
        <f aca="false">SUM(Q50:AE50)</f>
        <v>32771</v>
      </c>
      <c r="AG50" s="1" t="str">
        <f aca="false">DEC2HEX(AF50)</f>
        <v>8003</v>
      </c>
    </row>
    <row r="51" customFormat="false" ht="13.5" hidden="false" customHeight="false" outlineLevel="0" collapsed="false">
      <c r="A51" s="1" t="s">
        <v>63</v>
      </c>
      <c r="P51" s="1" t="n">
        <v>1</v>
      </c>
      <c r="Q51" s="1" t="n">
        <f aca="false">B51*B$1</f>
        <v>0</v>
      </c>
      <c r="R51" s="1" t="n">
        <f aca="false">C51*C$1</f>
        <v>0</v>
      </c>
      <c r="S51" s="1" t="n">
        <f aca="false">D51*D$1</f>
        <v>0</v>
      </c>
      <c r="T51" s="1" t="n">
        <f aca="false">E51*E$1</f>
        <v>0</v>
      </c>
      <c r="U51" s="1" t="n">
        <f aca="false">F51*F$1</f>
        <v>0</v>
      </c>
      <c r="V51" s="1" t="n">
        <f aca="false">G51*G$1</f>
        <v>0</v>
      </c>
      <c r="W51" s="1" t="n">
        <f aca="false">H51*H$1</f>
        <v>0</v>
      </c>
      <c r="X51" s="1" t="n">
        <f aca="false">I51*I$1</f>
        <v>0</v>
      </c>
      <c r="Y51" s="1" t="n">
        <f aca="false">J51*J$1</f>
        <v>0</v>
      </c>
      <c r="Z51" s="1" t="n">
        <f aca="false">K51*K$1</f>
        <v>0</v>
      </c>
      <c r="AA51" s="1" t="n">
        <f aca="false">L51*L$1</f>
        <v>0</v>
      </c>
      <c r="AB51" s="1" t="n">
        <f aca="false">M51*M$1</f>
        <v>0</v>
      </c>
      <c r="AC51" s="1" t="n">
        <f aca="false">N51*N$1</f>
        <v>0</v>
      </c>
      <c r="AD51" s="1" t="n">
        <f aca="false">O51*O$1</f>
        <v>0</v>
      </c>
      <c r="AE51" s="1" t="n">
        <f aca="false">P51*P$1</f>
        <v>65536</v>
      </c>
      <c r="AF51" s="1" t="n">
        <f aca="false">SUM(Q51:AE51)</f>
        <v>65536</v>
      </c>
      <c r="AG51" s="1" t="str">
        <f aca="false">DEC2HEX(AF51)</f>
        <v>10000</v>
      </c>
    </row>
    <row r="52" customFormat="false" ht="13.5" hidden="false" customHeight="false" outlineLevel="0" collapsed="false">
      <c r="A52" s="1" t="s">
        <v>64</v>
      </c>
      <c r="B52" s="1" t="n">
        <v>2</v>
      </c>
      <c r="L52" s="1" t="n">
        <v>1</v>
      </c>
      <c r="Q52" s="1" t="n">
        <f aca="false">B52*B$1</f>
        <v>2</v>
      </c>
      <c r="R52" s="1" t="n">
        <f aca="false">C52*C$1</f>
        <v>0</v>
      </c>
      <c r="S52" s="1" t="n">
        <f aca="false">D52*D$1</f>
        <v>0</v>
      </c>
      <c r="T52" s="1" t="n">
        <f aca="false">E52*E$1</f>
        <v>0</v>
      </c>
      <c r="U52" s="1" t="n">
        <f aca="false">F52*F$1</f>
        <v>0</v>
      </c>
      <c r="V52" s="1" t="n">
        <f aca="false">G52*G$1</f>
        <v>0</v>
      </c>
      <c r="W52" s="1" t="n">
        <f aca="false">H52*H$1</f>
        <v>0</v>
      </c>
      <c r="X52" s="1" t="n">
        <f aca="false">I52*I$1</f>
        <v>0</v>
      </c>
      <c r="Y52" s="1" t="n">
        <f aca="false">J52*J$1</f>
        <v>0</v>
      </c>
      <c r="Z52" s="1" t="n">
        <f aca="false">K52*K$1</f>
        <v>0</v>
      </c>
      <c r="AA52" s="1" t="n">
        <f aca="false">L52*L$1</f>
        <v>64</v>
      </c>
      <c r="AB52" s="1" t="n">
        <f aca="false">M52*M$1</f>
        <v>0</v>
      </c>
      <c r="AC52" s="1" t="n">
        <f aca="false">N52*N$1</f>
        <v>0</v>
      </c>
      <c r="AD52" s="1" t="n">
        <f aca="false">O52*O$1</f>
        <v>0</v>
      </c>
      <c r="AE52" s="1" t="n">
        <f aca="false">P52*P$1</f>
        <v>0</v>
      </c>
      <c r="AF52" s="1" t="n">
        <f aca="false">SUM(Q52:AE52)</f>
        <v>66</v>
      </c>
      <c r="AG52" s="1" t="str">
        <f aca="false">DEC2HEX(AF52)</f>
        <v>42</v>
      </c>
    </row>
    <row r="53" customFormat="false" ht="13.5" hidden="false" customHeight="false" outlineLevel="0" collapsed="false">
      <c r="A53" s="1" t="s">
        <v>65</v>
      </c>
      <c r="L53" s="1" t="n">
        <v>1</v>
      </c>
      <c r="M53" s="1" t="n">
        <v>1</v>
      </c>
      <c r="Q53" s="1" t="n">
        <f aca="false">B53*B$1</f>
        <v>0</v>
      </c>
      <c r="R53" s="1" t="n">
        <f aca="false">C53*C$1</f>
        <v>0</v>
      </c>
      <c r="S53" s="1" t="n">
        <f aca="false">D53*D$1</f>
        <v>0</v>
      </c>
      <c r="T53" s="1" t="n">
        <f aca="false">E53*E$1</f>
        <v>0</v>
      </c>
      <c r="U53" s="1" t="n">
        <f aca="false">F53*F$1</f>
        <v>0</v>
      </c>
      <c r="V53" s="1" t="n">
        <f aca="false">G53*G$1</f>
        <v>0</v>
      </c>
      <c r="W53" s="1" t="n">
        <f aca="false">H53*H$1</f>
        <v>0</v>
      </c>
      <c r="X53" s="1" t="n">
        <f aca="false">I53*I$1</f>
        <v>0</v>
      </c>
      <c r="Y53" s="1" t="n">
        <f aca="false">J53*J$1</f>
        <v>0</v>
      </c>
      <c r="Z53" s="1" t="n">
        <f aca="false">K53*K$1</f>
        <v>0</v>
      </c>
      <c r="AA53" s="1" t="n">
        <f aca="false">L53*L$1</f>
        <v>64</v>
      </c>
      <c r="AB53" s="1" t="n">
        <f aca="false">M53*M$1</f>
        <v>32</v>
      </c>
      <c r="AC53" s="1" t="n">
        <f aca="false">N53*N$1</f>
        <v>0</v>
      </c>
      <c r="AD53" s="1" t="n">
        <f aca="false">O53*O$1</f>
        <v>0</v>
      </c>
      <c r="AE53" s="1" t="n">
        <f aca="false">P53*P$1</f>
        <v>0</v>
      </c>
      <c r="AF53" s="1" t="n">
        <f aca="false">SUM(Q53:AE53)</f>
        <v>96</v>
      </c>
      <c r="AG53" s="1" t="str">
        <f aca="false">DEC2HEX(AF53)</f>
        <v>60</v>
      </c>
    </row>
    <row r="54" customFormat="false" ht="13.5" hidden="false" customHeight="false" outlineLevel="0" collapsed="false">
      <c r="A54" s="1" t="s">
        <v>66</v>
      </c>
      <c r="B54" s="1" t="n">
        <v>1</v>
      </c>
      <c r="L54" s="1" t="n">
        <v>1</v>
      </c>
      <c r="Q54" s="1" t="n">
        <f aca="false">B54*B$1</f>
        <v>1</v>
      </c>
      <c r="R54" s="1" t="n">
        <f aca="false">C54*C$1</f>
        <v>0</v>
      </c>
      <c r="S54" s="1" t="n">
        <f aca="false">D54*D$1</f>
        <v>0</v>
      </c>
      <c r="T54" s="1" t="n">
        <f aca="false">E54*E$1</f>
        <v>0</v>
      </c>
      <c r="U54" s="1" t="n">
        <f aca="false">F54*F$1</f>
        <v>0</v>
      </c>
      <c r="V54" s="1" t="n">
        <f aca="false">G54*G$1</f>
        <v>0</v>
      </c>
      <c r="W54" s="1" t="n">
        <f aca="false">H54*H$1</f>
        <v>0</v>
      </c>
      <c r="X54" s="1" t="n">
        <f aca="false">I54*I$1</f>
        <v>0</v>
      </c>
      <c r="Y54" s="1" t="n">
        <f aca="false">J54*J$1</f>
        <v>0</v>
      </c>
      <c r="Z54" s="1" t="n">
        <f aca="false">K54*K$1</f>
        <v>0</v>
      </c>
      <c r="AA54" s="1" t="n">
        <f aca="false">L54*L$1</f>
        <v>64</v>
      </c>
      <c r="AB54" s="1" t="n">
        <f aca="false">M54*M$1</f>
        <v>0</v>
      </c>
      <c r="AC54" s="1" t="n">
        <f aca="false">N54*N$1</f>
        <v>0</v>
      </c>
      <c r="AD54" s="1" t="n">
        <f aca="false">O54*O$1</f>
        <v>0</v>
      </c>
      <c r="AE54" s="1" t="n">
        <f aca="false">P54*P$1</f>
        <v>0</v>
      </c>
      <c r="AF54" s="1" t="n">
        <f aca="false">SUM(Q54:AE54)</f>
        <v>65</v>
      </c>
      <c r="AG54" s="1" t="str">
        <f aca="false">DEC2HEX(AF54)</f>
        <v>41</v>
      </c>
    </row>
    <row r="55" customFormat="false" ht="13.5" hidden="false" customHeight="false" outlineLevel="0" collapsed="false">
      <c r="A55" s="1" t="s">
        <v>67</v>
      </c>
      <c r="B55" s="1" t="n">
        <v>1</v>
      </c>
      <c r="H55" s="1" t="n">
        <v>1</v>
      </c>
      <c r="L55" s="1" t="n">
        <v>1</v>
      </c>
      <c r="Q55" s="1" t="n">
        <f aca="false">B55*B$1</f>
        <v>1</v>
      </c>
      <c r="R55" s="1" t="n">
        <f aca="false">C55*C$1</f>
        <v>0</v>
      </c>
      <c r="S55" s="1" t="n">
        <f aca="false">D55*D$1</f>
        <v>0</v>
      </c>
      <c r="T55" s="1" t="n">
        <f aca="false">E55*E$1</f>
        <v>0</v>
      </c>
      <c r="U55" s="1" t="n">
        <f aca="false">F55*F$1</f>
        <v>0</v>
      </c>
      <c r="V55" s="1" t="n">
        <f aca="false">G55*G$1</f>
        <v>0</v>
      </c>
      <c r="W55" s="1" t="n">
        <f aca="false">H55*H$1</f>
        <v>1024</v>
      </c>
      <c r="X55" s="1" t="n">
        <f aca="false">I55*I$1</f>
        <v>0</v>
      </c>
      <c r="Y55" s="1" t="n">
        <f aca="false">J55*J$1</f>
        <v>0</v>
      </c>
      <c r="Z55" s="1" t="n">
        <f aca="false">K55*K$1</f>
        <v>0</v>
      </c>
      <c r="AA55" s="1" t="n">
        <f aca="false">L55*L$1</f>
        <v>64</v>
      </c>
      <c r="AB55" s="1" t="n">
        <f aca="false">M55*M$1</f>
        <v>0</v>
      </c>
      <c r="AC55" s="1" t="n">
        <f aca="false">N55*N$1</f>
        <v>0</v>
      </c>
      <c r="AD55" s="1" t="n">
        <f aca="false">O55*O$1</f>
        <v>0</v>
      </c>
      <c r="AE55" s="1" t="n">
        <f aca="false">P55*P$1</f>
        <v>0</v>
      </c>
      <c r="AF55" s="1" t="n">
        <f aca="false">SUM(Q55:AE55)</f>
        <v>1089</v>
      </c>
      <c r="AG55" s="1" t="str">
        <f aca="false">DEC2HEX(AF55)</f>
        <v>441</v>
      </c>
    </row>
    <row r="56" customFormat="false" ht="13.5" hidden="false" customHeight="false" outlineLevel="0" collapsed="false">
      <c r="A56" s="1" t="s">
        <v>68</v>
      </c>
      <c r="B56" s="1" t="n">
        <v>2</v>
      </c>
      <c r="E56" s="1" t="n">
        <v>1</v>
      </c>
      <c r="F56" s="1" t="n">
        <v>1</v>
      </c>
      <c r="Q56" s="1" t="n">
        <f aca="false">B56*B$1</f>
        <v>2</v>
      </c>
      <c r="R56" s="1" t="n">
        <f aca="false">C56*C$1</f>
        <v>0</v>
      </c>
      <c r="S56" s="1" t="n">
        <f aca="false">D56*D$1</f>
        <v>0</v>
      </c>
      <c r="T56" s="1" t="n">
        <f aca="false">E56*E$1</f>
        <v>8192</v>
      </c>
      <c r="U56" s="1" t="n">
        <f aca="false">F56*F$1</f>
        <v>4096</v>
      </c>
      <c r="V56" s="1" t="n">
        <f aca="false">G56*G$1</f>
        <v>0</v>
      </c>
      <c r="W56" s="1" t="n">
        <f aca="false">H56*H$1</f>
        <v>0</v>
      </c>
      <c r="X56" s="1" t="n">
        <f aca="false">I56*I$1</f>
        <v>0</v>
      </c>
      <c r="Y56" s="1" t="n">
        <f aca="false">J56*J$1</f>
        <v>0</v>
      </c>
      <c r="Z56" s="1" t="n">
        <f aca="false">K56*K$1</f>
        <v>0</v>
      </c>
      <c r="AA56" s="1" t="n">
        <f aca="false">L56*L$1</f>
        <v>0</v>
      </c>
      <c r="AB56" s="1" t="n">
        <f aca="false">M56*M$1</f>
        <v>0</v>
      </c>
      <c r="AC56" s="1" t="n">
        <f aca="false">N56*N$1</f>
        <v>0</v>
      </c>
      <c r="AD56" s="1" t="n">
        <f aca="false">O56*O$1</f>
        <v>0</v>
      </c>
      <c r="AE56" s="1" t="n">
        <f aca="false">P56*P$1</f>
        <v>0</v>
      </c>
      <c r="AF56" s="1" t="n">
        <f aca="false">SUM(Q56:AE56)</f>
        <v>12290</v>
      </c>
      <c r="AG56" s="1" t="str">
        <f aca="false">DEC2HEX(AF56)</f>
        <v>3002</v>
      </c>
    </row>
    <row r="57" customFormat="false" ht="13.5" hidden="false" customHeight="false" outlineLevel="0" collapsed="false">
      <c r="A57" s="1" t="s">
        <v>69</v>
      </c>
      <c r="B57" s="1" t="n">
        <v>2</v>
      </c>
      <c r="E57" s="1" t="n">
        <v>1</v>
      </c>
      <c r="Q57" s="1" t="n">
        <f aca="false">B57*B$1</f>
        <v>2</v>
      </c>
      <c r="R57" s="1" t="n">
        <f aca="false">C57*C$1</f>
        <v>0</v>
      </c>
      <c r="S57" s="1" t="n">
        <f aca="false">D57*D$1</f>
        <v>0</v>
      </c>
      <c r="T57" s="1" t="n">
        <f aca="false">E57*E$1</f>
        <v>8192</v>
      </c>
      <c r="U57" s="1" t="n">
        <f aca="false">F57*F$1</f>
        <v>0</v>
      </c>
      <c r="V57" s="1" t="n">
        <f aca="false">G57*G$1</f>
        <v>0</v>
      </c>
      <c r="W57" s="1" t="n">
        <f aca="false">H57*H$1</f>
        <v>0</v>
      </c>
      <c r="X57" s="1" t="n">
        <f aca="false">I57*I$1</f>
        <v>0</v>
      </c>
      <c r="Y57" s="1" t="n">
        <f aca="false">J57*J$1</f>
        <v>0</v>
      </c>
      <c r="Z57" s="1" t="n">
        <f aca="false">K57*K$1</f>
        <v>0</v>
      </c>
      <c r="AA57" s="1" t="n">
        <f aca="false">L57*L$1</f>
        <v>0</v>
      </c>
      <c r="AB57" s="1" t="n">
        <f aca="false">M57*M$1</f>
        <v>0</v>
      </c>
      <c r="AC57" s="1" t="n">
        <f aca="false">N57*N$1</f>
        <v>0</v>
      </c>
      <c r="AD57" s="1" t="n">
        <f aca="false">O57*O$1</f>
        <v>0</v>
      </c>
      <c r="AE57" s="1" t="n">
        <f aca="false">P57*P$1</f>
        <v>0</v>
      </c>
      <c r="AF57" s="1" t="n">
        <f aca="false">SUM(Q57:AE57)</f>
        <v>8194</v>
      </c>
      <c r="AG57" s="1" t="str">
        <f aca="false">DEC2HEX(AF57)</f>
        <v>2002</v>
      </c>
    </row>
    <row r="58" customFormat="false" ht="13.5" hidden="false" customHeight="false" outlineLevel="0" collapsed="false">
      <c r="A58" s="1" t="s">
        <v>70</v>
      </c>
      <c r="B58" s="1" t="n">
        <v>2</v>
      </c>
      <c r="F58" s="1" t="n">
        <v>1</v>
      </c>
      <c r="Q58" s="1" t="n">
        <f aca="false">B58*B$1</f>
        <v>2</v>
      </c>
      <c r="R58" s="1" t="n">
        <f aca="false">C58*C$1</f>
        <v>0</v>
      </c>
      <c r="S58" s="1" t="n">
        <f aca="false">D58*D$1</f>
        <v>0</v>
      </c>
      <c r="T58" s="1" t="n">
        <f aca="false">E58*E$1</f>
        <v>0</v>
      </c>
      <c r="U58" s="1" t="n">
        <f aca="false">F58*F$1</f>
        <v>4096</v>
      </c>
      <c r="V58" s="1" t="n">
        <f aca="false">G58*G$1</f>
        <v>0</v>
      </c>
      <c r="W58" s="1" t="n">
        <f aca="false">H58*H$1</f>
        <v>0</v>
      </c>
      <c r="X58" s="1" t="n">
        <f aca="false">I58*I$1</f>
        <v>0</v>
      </c>
      <c r="Y58" s="1" t="n">
        <f aca="false">J58*J$1</f>
        <v>0</v>
      </c>
      <c r="Z58" s="1" t="n">
        <f aca="false">K58*K$1</f>
        <v>0</v>
      </c>
      <c r="AA58" s="1" t="n">
        <f aca="false">L58*L$1</f>
        <v>0</v>
      </c>
      <c r="AB58" s="1" t="n">
        <f aca="false">M58*M$1</f>
        <v>0</v>
      </c>
      <c r="AC58" s="1" t="n">
        <f aca="false">N58*N$1</f>
        <v>0</v>
      </c>
      <c r="AD58" s="1" t="n">
        <f aca="false">O58*O$1</f>
        <v>0</v>
      </c>
      <c r="AE58" s="1" t="n">
        <f aca="false">P58*P$1</f>
        <v>0</v>
      </c>
      <c r="AF58" s="1" t="n">
        <f aca="false">SUM(Q58:AE58)</f>
        <v>4098</v>
      </c>
      <c r="AG58" s="1" t="str">
        <f aca="false">DEC2HEX(AF58)</f>
        <v>1002</v>
      </c>
    </row>
    <row r="59" customFormat="false" ht="13.5" hidden="false" customHeight="false" outlineLevel="0" collapsed="false">
      <c r="A59" s="1" t="s">
        <v>71</v>
      </c>
      <c r="B59" s="1" t="n">
        <v>1</v>
      </c>
      <c r="E59" s="1" t="n">
        <v>1</v>
      </c>
      <c r="F59" s="1" t="n">
        <v>1</v>
      </c>
      <c r="Q59" s="1" t="n">
        <f aca="false">B59*B$1</f>
        <v>1</v>
      </c>
      <c r="R59" s="1" t="n">
        <f aca="false">C59*C$1</f>
        <v>0</v>
      </c>
      <c r="S59" s="1" t="n">
        <f aca="false">D59*D$1</f>
        <v>0</v>
      </c>
      <c r="T59" s="1" t="n">
        <f aca="false">E59*E$1</f>
        <v>8192</v>
      </c>
      <c r="U59" s="1" t="n">
        <f aca="false">F59*F$1</f>
        <v>4096</v>
      </c>
      <c r="V59" s="1" t="n">
        <f aca="false">G59*G$1</f>
        <v>0</v>
      </c>
      <c r="W59" s="1" t="n">
        <f aca="false">H59*H$1</f>
        <v>0</v>
      </c>
      <c r="X59" s="1" t="n">
        <f aca="false">I59*I$1</f>
        <v>0</v>
      </c>
      <c r="Y59" s="1" t="n">
        <f aca="false">J59*J$1</f>
        <v>0</v>
      </c>
      <c r="Z59" s="1" t="n">
        <f aca="false">K59*K$1</f>
        <v>0</v>
      </c>
      <c r="AA59" s="1" t="n">
        <f aca="false">L59*L$1</f>
        <v>0</v>
      </c>
      <c r="AB59" s="1" t="n">
        <f aca="false">M59*M$1</f>
        <v>0</v>
      </c>
      <c r="AC59" s="1" t="n">
        <f aca="false">N59*N$1</f>
        <v>0</v>
      </c>
      <c r="AD59" s="1" t="n">
        <f aca="false">O59*O$1</f>
        <v>0</v>
      </c>
      <c r="AE59" s="1" t="n">
        <f aca="false">P59*P$1</f>
        <v>0</v>
      </c>
      <c r="AF59" s="1" t="n">
        <f aca="false">SUM(Q59:AE59)</f>
        <v>12289</v>
      </c>
      <c r="AG59" s="1" t="str">
        <f aca="false">DEC2HEX(AF59)</f>
        <v>3001</v>
      </c>
    </row>
    <row r="60" customFormat="false" ht="13.5" hidden="false" customHeight="false" outlineLevel="0" collapsed="false">
      <c r="A60" s="1" t="s">
        <v>72</v>
      </c>
      <c r="B60" s="1" t="n">
        <v>1</v>
      </c>
      <c r="E60" s="1" t="n">
        <v>1</v>
      </c>
      <c r="Q60" s="1" t="n">
        <f aca="false">B60*B$1</f>
        <v>1</v>
      </c>
      <c r="R60" s="1" t="n">
        <f aca="false">C60*C$1</f>
        <v>0</v>
      </c>
      <c r="S60" s="1" t="n">
        <f aca="false">D60*D$1</f>
        <v>0</v>
      </c>
      <c r="T60" s="1" t="n">
        <f aca="false">E60*E$1</f>
        <v>8192</v>
      </c>
      <c r="U60" s="1" t="n">
        <f aca="false">F60*F$1</f>
        <v>0</v>
      </c>
      <c r="V60" s="1" t="n">
        <f aca="false">G60*G$1</f>
        <v>0</v>
      </c>
      <c r="W60" s="1" t="n">
        <f aca="false">H60*H$1</f>
        <v>0</v>
      </c>
      <c r="X60" s="1" t="n">
        <f aca="false">I60*I$1</f>
        <v>0</v>
      </c>
      <c r="Y60" s="1" t="n">
        <f aca="false">J60*J$1</f>
        <v>0</v>
      </c>
      <c r="Z60" s="1" t="n">
        <f aca="false">K60*K$1</f>
        <v>0</v>
      </c>
      <c r="AA60" s="1" t="n">
        <f aca="false">L60*L$1</f>
        <v>0</v>
      </c>
      <c r="AB60" s="1" t="n">
        <f aca="false">M60*M$1</f>
        <v>0</v>
      </c>
      <c r="AC60" s="1" t="n">
        <f aca="false">N60*N$1</f>
        <v>0</v>
      </c>
      <c r="AD60" s="1" t="n">
        <f aca="false">O60*O$1</f>
        <v>0</v>
      </c>
      <c r="AE60" s="1" t="n">
        <f aca="false">P60*P$1</f>
        <v>0</v>
      </c>
      <c r="AF60" s="1" t="n">
        <f aca="false">SUM(Q60:AE60)</f>
        <v>8193</v>
      </c>
      <c r="AG60" s="1" t="str">
        <f aca="false">DEC2HEX(AF60)</f>
        <v>2001</v>
      </c>
    </row>
    <row r="61" customFormat="false" ht="13.5" hidden="false" customHeight="false" outlineLevel="0" collapsed="false">
      <c r="A61" s="1" t="s">
        <v>73</v>
      </c>
      <c r="B61" s="1" t="n">
        <v>1</v>
      </c>
      <c r="F61" s="1" t="n">
        <v>1</v>
      </c>
      <c r="Q61" s="1" t="n">
        <f aca="false">B61*B$1</f>
        <v>1</v>
      </c>
      <c r="R61" s="1" t="n">
        <f aca="false">C61*C$1</f>
        <v>0</v>
      </c>
      <c r="S61" s="1" t="n">
        <f aca="false">D61*D$1</f>
        <v>0</v>
      </c>
      <c r="T61" s="1" t="n">
        <f aca="false">E61*E$1</f>
        <v>0</v>
      </c>
      <c r="U61" s="1" t="n">
        <f aca="false">F61*F$1</f>
        <v>4096</v>
      </c>
      <c r="V61" s="1" t="n">
        <f aca="false">G61*G$1</f>
        <v>0</v>
      </c>
      <c r="W61" s="1" t="n">
        <f aca="false">H61*H$1</f>
        <v>0</v>
      </c>
      <c r="X61" s="1" t="n">
        <f aca="false">I61*I$1</f>
        <v>0</v>
      </c>
      <c r="Y61" s="1" t="n">
        <f aca="false">J61*J$1</f>
        <v>0</v>
      </c>
      <c r="Z61" s="1" t="n">
        <f aca="false">K61*K$1</f>
        <v>0</v>
      </c>
      <c r="AA61" s="1" t="n">
        <f aca="false">L61*L$1</f>
        <v>0</v>
      </c>
      <c r="AB61" s="1" t="n">
        <f aca="false">M61*M$1</f>
        <v>0</v>
      </c>
      <c r="AC61" s="1" t="n">
        <f aca="false">N61*N$1</f>
        <v>0</v>
      </c>
      <c r="AD61" s="1" t="n">
        <f aca="false">O61*O$1</f>
        <v>0</v>
      </c>
      <c r="AE61" s="1" t="n">
        <f aca="false">P61*P$1</f>
        <v>0</v>
      </c>
      <c r="AF61" s="1" t="n">
        <f aca="false">SUM(Q61:AE61)</f>
        <v>4097</v>
      </c>
      <c r="AG61" s="1" t="str">
        <f aca="false">DEC2HEX(AF61)</f>
        <v>1001</v>
      </c>
    </row>
    <row r="62" customFormat="false" ht="13.5" hidden="false" customHeight="false" outlineLevel="0" collapsed="false">
      <c r="A62" s="1" t="s">
        <v>74</v>
      </c>
      <c r="B62" s="1" t="n">
        <v>7</v>
      </c>
      <c r="Q62" s="1" t="n">
        <f aca="false">B62*B$1</f>
        <v>7</v>
      </c>
      <c r="R62" s="1" t="n">
        <f aca="false">C62*C$1</f>
        <v>0</v>
      </c>
      <c r="S62" s="1" t="n">
        <f aca="false">D62*D$1</f>
        <v>0</v>
      </c>
      <c r="T62" s="1" t="n">
        <f aca="false">E62*E$1</f>
        <v>0</v>
      </c>
      <c r="U62" s="1" t="n">
        <f aca="false">F62*F$1</f>
        <v>0</v>
      </c>
      <c r="V62" s="1" t="n">
        <f aca="false">G62*G$1</f>
        <v>0</v>
      </c>
      <c r="W62" s="1" t="n">
        <f aca="false">H62*H$1</f>
        <v>0</v>
      </c>
      <c r="X62" s="1" t="n">
        <f aca="false">I62*I$1</f>
        <v>0</v>
      </c>
      <c r="Y62" s="1" t="n">
        <f aca="false">J62*J$1</f>
        <v>0</v>
      </c>
      <c r="Z62" s="1" t="n">
        <f aca="false">K62*K$1</f>
        <v>0</v>
      </c>
      <c r="AA62" s="1" t="n">
        <f aca="false">L62*L$1</f>
        <v>0</v>
      </c>
      <c r="AB62" s="1" t="n">
        <f aca="false">M62*M$1</f>
        <v>0</v>
      </c>
      <c r="AC62" s="1" t="n">
        <f aca="false">N62*N$1</f>
        <v>0</v>
      </c>
      <c r="AD62" s="1" t="n">
        <f aca="false">O62*O$1</f>
        <v>0</v>
      </c>
      <c r="AE62" s="1" t="n">
        <f aca="false">P62*P$1</f>
        <v>0</v>
      </c>
      <c r="AF62" s="1" t="n">
        <f aca="false">SUM(Q62:AE62)</f>
        <v>7</v>
      </c>
      <c r="AG62" s="1" t="str">
        <f aca="false">DEC2HEX(AF62)</f>
        <v>7</v>
      </c>
    </row>
    <row r="63" customFormat="false" ht="13.5" hidden="false" customHeight="false" outlineLevel="0" collapsed="false">
      <c r="A63" s="1" t="s">
        <v>75</v>
      </c>
      <c r="B63" s="1" t="n">
        <v>3</v>
      </c>
      <c r="E63" s="1" t="n">
        <v>1</v>
      </c>
      <c r="F63" s="1" t="n">
        <v>1</v>
      </c>
      <c r="Q63" s="1" t="n">
        <f aca="false">B63*B$1</f>
        <v>3</v>
      </c>
      <c r="R63" s="1" t="n">
        <f aca="false">C63*C$1</f>
        <v>0</v>
      </c>
      <c r="S63" s="1" t="n">
        <f aca="false">D63*D$1</f>
        <v>0</v>
      </c>
      <c r="T63" s="1" t="n">
        <f aca="false">E63*E$1</f>
        <v>8192</v>
      </c>
      <c r="U63" s="1" t="n">
        <f aca="false">F63*F$1</f>
        <v>4096</v>
      </c>
      <c r="V63" s="1" t="n">
        <f aca="false">G63*G$1</f>
        <v>0</v>
      </c>
      <c r="W63" s="1" t="n">
        <f aca="false">H63*H$1</f>
        <v>0</v>
      </c>
      <c r="X63" s="1" t="n">
        <f aca="false">I63*I$1</f>
        <v>0</v>
      </c>
      <c r="Y63" s="1" t="n">
        <f aca="false">J63*J$1</f>
        <v>0</v>
      </c>
      <c r="Z63" s="1" t="n">
        <f aca="false">K63*K$1</f>
        <v>0</v>
      </c>
      <c r="AA63" s="1" t="n">
        <f aca="false">L63*L$1</f>
        <v>0</v>
      </c>
      <c r="AB63" s="1" t="n">
        <f aca="false">M63*M$1</f>
        <v>0</v>
      </c>
      <c r="AC63" s="1" t="n">
        <f aca="false">N63*N$1</f>
        <v>0</v>
      </c>
      <c r="AD63" s="1" t="n">
        <f aca="false">O63*O$1</f>
        <v>0</v>
      </c>
      <c r="AE63" s="1" t="n">
        <f aca="false">P63*P$1</f>
        <v>0</v>
      </c>
      <c r="AF63" s="1" t="n">
        <f aca="false">SUM(Q63:AE63)</f>
        <v>12291</v>
      </c>
      <c r="AG63" s="1" t="str">
        <f aca="false">DEC2HEX(AF63)</f>
        <v>3003</v>
      </c>
    </row>
    <row r="64" customFormat="false" ht="13.5" hidden="false" customHeight="false" outlineLevel="0" collapsed="false">
      <c r="A64" s="1" t="s">
        <v>76</v>
      </c>
      <c r="K64" s="1" t="n">
        <v>1</v>
      </c>
      <c r="Q64" s="1" t="n">
        <f aca="false">B64*B$1</f>
        <v>0</v>
      </c>
      <c r="R64" s="1" t="n">
        <f aca="false">C64*C$1</f>
        <v>0</v>
      </c>
      <c r="S64" s="1" t="n">
        <f aca="false">D64*D$1</f>
        <v>0</v>
      </c>
      <c r="T64" s="1" t="n">
        <f aca="false">E64*E$1</f>
        <v>0</v>
      </c>
      <c r="U64" s="1" t="n">
        <f aca="false">F64*F$1</f>
        <v>0</v>
      </c>
      <c r="V64" s="1" t="n">
        <f aca="false">G64*G$1</f>
        <v>0</v>
      </c>
      <c r="W64" s="1" t="n">
        <f aca="false">H64*H$1</f>
        <v>0</v>
      </c>
      <c r="X64" s="1" t="n">
        <f aca="false">I64*I$1</f>
        <v>0</v>
      </c>
      <c r="Y64" s="1" t="n">
        <f aca="false">J64*J$1</f>
        <v>0</v>
      </c>
      <c r="Z64" s="1" t="n">
        <f aca="false">K64*K$1</f>
        <v>128</v>
      </c>
      <c r="AA64" s="1" t="n">
        <f aca="false">L64*L$1</f>
        <v>0</v>
      </c>
      <c r="AB64" s="1" t="n">
        <f aca="false">M64*M$1</f>
        <v>0</v>
      </c>
      <c r="AC64" s="1" t="n">
        <f aca="false">N64*N$1</f>
        <v>0</v>
      </c>
      <c r="AD64" s="1" t="n">
        <f aca="false">O64*O$1</f>
        <v>0</v>
      </c>
      <c r="AE64" s="1" t="n">
        <f aca="false">P64*P$1</f>
        <v>0</v>
      </c>
      <c r="AF64" s="1" t="n">
        <f aca="false">SUM(Q64:AE64)</f>
        <v>128</v>
      </c>
      <c r="AG64" s="1" t="str">
        <f aca="false">DEC2HEX(AF64)</f>
        <v>80</v>
      </c>
    </row>
    <row r="65" customFormat="false" ht="13.5" hidden="false" customHeight="false" outlineLevel="0" collapsed="false">
      <c r="A65" s="1" t="s">
        <v>77</v>
      </c>
      <c r="H65" s="1" t="n">
        <v>1</v>
      </c>
      <c r="K65" s="1" t="n">
        <v>1</v>
      </c>
      <c r="Q65" s="1" t="n">
        <f aca="false">B65*B$1</f>
        <v>0</v>
      </c>
      <c r="R65" s="1" t="n">
        <f aca="false">C65*C$1</f>
        <v>0</v>
      </c>
      <c r="S65" s="1" t="n">
        <f aca="false">D65*D$1</f>
        <v>0</v>
      </c>
      <c r="T65" s="1" t="n">
        <f aca="false">E65*E$1</f>
        <v>0</v>
      </c>
      <c r="U65" s="1" t="n">
        <f aca="false">F65*F$1</f>
        <v>0</v>
      </c>
      <c r="V65" s="1" t="n">
        <f aca="false">G65*G$1</f>
        <v>0</v>
      </c>
      <c r="W65" s="1" t="n">
        <f aca="false">H65*H$1</f>
        <v>1024</v>
      </c>
      <c r="X65" s="1" t="n">
        <f aca="false">I65*I$1</f>
        <v>0</v>
      </c>
      <c r="Y65" s="1" t="n">
        <f aca="false">J65*J$1</f>
        <v>0</v>
      </c>
      <c r="Z65" s="1" t="n">
        <f aca="false">K65*K$1</f>
        <v>128</v>
      </c>
      <c r="AA65" s="1" t="n">
        <f aca="false">L65*L$1</f>
        <v>0</v>
      </c>
      <c r="AB65" s="1" t="n">
        <f aca="false">M65*M$1</f>
        <v>0</v>
      </c>
      <c r="AC65" s="1" t="n">
        <f aca="false">N65*N$1</f>
        <v>0</v>
      </c>
      <c r="AD65" s="1" t="n">
        <f aca="false">O65*O$1</f>
        <v>0</v>
      </c>
      <c r="AE65" s="1" t="n">
        <f aca="false">P65*P$1</f>
        <v>0</v>
      </c>
      <c r="AF65" s="1" t="n">
        <f aca="false">SUM(Q65:AE65)</f>
        <v>1152</v>
      </c>
      <c r="AG65" s="1" t="str">
        <f aca="false">DEC2HEX(AF65)</f>
        <v>480</v>
      </c>
    </row>
    <row r="66" customFormat="false" ht="13.5" hidden="false" customHeight="false" outlineLevel="0" collapsed="false">
      <c r="A66" s="1" t="s">
        <v>78</v>
      </c>
      <c r="K66" s="1" t="n">
        <v>1</v>
      </c>
      <c r="P66" s="1" t="n">
        <v>28</v>
      </c>
      <c r="Q66" s="1" t="n">
        <f aca="false">B66*B$1</f>
        <v>0</v>
      </c>
      <c r="R66" s="1" t="n">
        <f aca="false">C66*C$1</f>
        <v>0</v>
      </c>
      <c r="S66" s="1" t="n">
        <f aca="false">D66*D$1</f>
        <v>0</v>
      </c>
      <c r="T66" s="1" t="n">
        <f aca="false">E66*E$1</f>
        <v>0</v>
      </c>
      <c r="U66" s="1" t="n">
        <f aca="false">F66*F$1</f>
        <v>0</v>
      </c>
      <c r="V66" s="1" t="n">
        <f aca="false">G66*G$1</f>
        <v>0</v>
      </c>
      <c r="W66" s="1" t="n">
        <f aca="false">H66*H$1</f>
        <v>0</v>
      </c>
      <c r="X66" s="1" t="n">
        <f aca="false">I66*I$1</f>
        <v>0</v>
      </c>
      <c r="Y66" s="1" t="n">
        <f aca="false">J66*J$1</f>
        <v>0</v>
      </c>
      <c r="Z66" s="1" t="n">
        <f aca="false">K66*K$1</f>
        <v>128</v>
      </c>
      <c r="AA66" s="1" t="n">
        <f aca="false">L66*L$1</f>
        <v>0</v>
      </c>
      <c r="AB66" s="1" t="n">
        <f aca="false">M66*M$1</f>
        <v>0</v>
      </c>
      <c r="AC66" s="1" t="n">
        <f aca="false">N66*N$1</f>
        <v>0</v>
      </c>
      <c r="AD66" s="1" t="n">
        <f aca="false">O66*O$1</f>
        <v>0</v>
      </c>
      <c r="AE66" s="1" t="n">
        <f aca="false">P66*P$1</f>
        <v>1835008</v>
      </c>
      <c r="AF66" s="1" t="n">
        <f aca="false">SUM(Q66:AE66)</f>
        <v>1835136</v>
      </c>
      <c r="AG66" s="1" t="str">
        <f aca="false">DEC2HEX(AF66)</f>
        <v>1C0080</v>
      </c>
    </row>
    <row r="67" customFormat="false" ht="13.5" hidden="false" customHeight="false" outlineLevel="0" collapsed="false">
      <c r="A67" s="1" t="s">
        <v>79</v>
      </c>
      <c r="K67" s="1" t="n">
        <v>1</v>
      </c>
      <c r="M67" s="1" t="n">
        <v>1</v>
      </c>
      <c r="Q67" s="1" t="n">
        <f aca="false">B67*B$1</f>
        <v>0</v>
      </c>
      <c r="R67" s="1" t="n">
        <f aca="false">C67*C$1</f>
        <v>0</v>
      </c>
      <c r="S67" s="1" t="n">
        <f aca="false">D67*D$1</f>
        <v>0</v>
      </c>
      <c r="T67" s="1" t="n">
        <f aca="false">E67*E$1</f>
        <v>0</v>
      </c>
      <c r="U67" s="1" t="n">
        <f aca="false">F67*F$1</f>
        <v>0</v>
      </c>
      <c r="V67" s="1" t="n">
        <f aca="false">G67*G$1</f>
        <v>0</v>
      </c>
      <c r="W67" s="1" t="n">
        <f aca="false">H67*H$1</f>
        <v>0</v>
      </c>
      <c r="X67" s="1" t="n">
        <f aca="false">I67*I$1</f>
        <v>0</v>
      </c>
      <c r="Y67" s="1" t="n">
        <f aca="false">J67*J$1</f>
        <v>0</v>
      </c>
      <c r="Z67" s="1" t="n">
        <f aca="false">K67*K$1</f>
        <v>128</v>
      </c>
      <c r="AA67" s="1" t="n">
        <f aca="false">L67*L$1</f>
        <v>0</v>
      </c>
      <c r="AB67" s="1" t="n">
        <f aca="false">M67*M$1</f>
        <v>32</v>
      </c>
      <c r="AC67" s="1" t="n">
        <f aca="false">N67*N$1</f>
        <v>0</v>
      </c>
      <c r="AD67" s="1" t="n">
        <f aca="false">O67*O$1</f>
        <v>0</v>
      </c>
      <c r="AE67" s="1" t="n">
        <f aca="false">P67*P$1</f>
        <v>0</v>
      </c>
      <c r="AF67" s="1" t="n">
        <f aca="false">SUM(Q67:AE67)</f>
        <v>160</v>
      </c>
      <c r="AG67" s="1" t="str">
        <f aca="false">DEC2HEX(AF67)</f>
        <v>A0</v>
      </c>
    </row>
    <row r="68" customFormat="false" ht="13.5" hidden="false" customHeight="false" outlineLevel="0" collapsed="false">
      <c r="A68" s="1" t="s">
        <v>80</v>
      </c>
      <c r="P68" s="1" t="n">
        <v>22</v>
      </c>
      <c r="Q68" s="1" t="n">
        <f aca="false">B68*B$1</f>
        <v>0</v>
      </c>
      <c r="R68" s="1" t="n">
        <f aca="false">C68*C$1</f>
        <v>0</v>
      </c>
      <c r="S68" s="1" t="n">
        <f aca="false">D68*D$1</f>
        <v>0</v>
      </c>
      <c r="T68" s="1" t="n">
        <f aca="false">E68*E$1</f>
        <v>0</v>
      </c>
      <c r="U68" s="1" t="n">
        <f aca="false">F68*F$1</f>
        <v>0</v>
      </c>
      <c r="V68" s="1" t="n">
        <f aca="false">G68*G$1</f>
        <v>0</v>
      </c>
      <c r="W68" s="1" t="n">
        <f aca="false">H68*H$1</f>
        <v>0</v>
      </c>
      <c r="X68" s="1" t="n">
        <f aca="false">I68*I$1</f>
        <v>0</v>
      </c>
      <c r="Y68" s="1" t="n">
        <f aca="false">J68*J$1</f>
        <v>0</v>
      </c>
      <c r="Z68" s="1" t="n">
        <f aca="false">K68*K$1</f>
        <v>0</v>
      </c>
      <c r="AA68" s="1" t="n">
        <f aca="false">L68*L$1</f>
        <v>0</v>
      </c>
      <c r="AB68" s="1" t="n">
        <f aca="false">M68*M$1</f>
        <v>0</v>
      </c>
      <c r="AC68" s="1" t="n">
        <f aca="false">N68*N$1</f>
        <v>0</v>
      </c>
      <c r="AD68" s="1" t="n">
        <f aca="false">O68*O$1</f>
        <v>0</v>
      </c>
      <c r="AE68" s="1" t="n">
        <f aca="false">P68*P$1</f>
        <v>1441792</v>
      </c>
      <c r="AF68" s="1" t="n">
        <f aca="false">SUM(Q68:AE68)</f>
        <v>1441792</v>
      </c>
      <c r="AG68" s="1" t="str">
        <f aca="false">DEC2HEX(AF68)</f>
        <v>160000</v>
      </c>
    </row>
    <row r="69" customFormat="false" ht="13.5" hidden="false" customHeight="false" outlineLevel="0" collapsed="false">
      <c r="A69" s="1" t="s">
        <v>81</v>
      </c>
      <c r="P69" s="1" t="n">
        <v>17</v>
      </c>
      <c r="Q69" s="1" t="n">
        <f aca="false">B69*B$1</f>
        <v>0</v>
      </c>
      <c r="R69" s="1" t="n">
        <f aca="false">C69*C$1</f>
        <v>0</v>
      </c>
      <c r="S69" s="1" t="n">
        <f aca="false">D69*D$1</f>
        <v>0</v>
      </c>
      <c r="T69" s="1" t="n">
        <f aca="false">E69*E$1</f>
        <v>0</v>
      </c>
      <c r="U69" s="1" t="n">
        <f aca="false">F69*F$1</f>
        <v>0</v>
      </c>
      <c r="V69" s="1" t="n">
        <f aca="false">G69*G$1</f>
        <v>0</v>
      </c>
      <c r="W69" s="1" t="n">
        <f aca="false">H69*H$1</f>
        <v>0</v>
      </c>
      <c r="X69" s="1" t="n">
        <f aca="false">I69*I$1</f>
        <v>0</v>
      </c>
      <c r="Y69" s="1" t="n">
        <f aca="false">J69*J$1</f>
        <v>0</v>
      </c>
      <c r="Z69" s="1" t="n">
        <f aca="false">K69*K$1</f>
        <v>0</v>
      </c>
      <c r="AA69" s="1" t="n">
        <f aca="false">L69*L$1</f>
        <v>0</v>
      </c>
      <c r="AB69" s="1" t="n">
        <f aca="false">M69*M$1</f>
        <v>0</v>
      </c>
      <c r="AC69" s="1" t="n">
        <f aca="false">N69*N$1</f>
        <v>0</v>
      </c>
      <c r="AD69" s="1" t="n">
        <f aca="false">O69*O$1</f>
        <v>0</v>
      </c>
      <c r="AE69" s="1" t="n">
        <f aca="false">P69*P$1</f>
        <v>1114112</v>
      </c>
      <c r="AF69" s="1" t="n">
        <f aca="false">SUM(Q69:AE69)</f>
        <v>1114112</v>
      </c>
      <c r="AG69" s="1" t="str">
        <f aca="false">DEC2HEX(AF69)</f>
        <v>110000</v>
      </c>
    </row>
    <row r="70" customFormat="false" ht="13.5" hidden="false" customHeight="false" outlineLevel="0" collapsed="false">
      <c r="A70" s="1" t="s">
        <v>82</v>
      </c>
      <c r="B70" s="1" t="n">
        <v>1</v>
      </c>
      <c r="P70" s="1" t="n">
        <v>15</v>
      </c>
      <c r="Q70" s="1" t="n">
        <f aca="false">B70*B$1</f>
        <v>1</v>
      </c>
      <c r="R70" s="1" t="n">
        <f aca="false">C70*C$1</f>
        <v>0</v>
      </c>
      <c r="S70" s="1" t="n">
        <f aca="false">D70*D$1</f>
        <v>0</v>
      </c>
      <c r="T70" s="1" t="n">
        <f aca="false">E70*E$1</f>
        <v>0</v>
      </c>
      <c r="U70" s="1" t="n">
        <f aca="false">F70*F$1</f>
        <v>0</v>
      </c>
      <c r="V70" s="1" t="n">
        <f aca="false">G70*G$1</f>
        <v>0</v>
      </c>
      <c r="W70" s="1" t="n">
        <f aca="false">H70*H$1</f>
        <v>0</v>
      </c>
      <c r="X70" s="1" t="n">
        <f aca="false">I70*I$1</f>
        <v>0</v>
      </c>
      <c r="Y70" s="1" t="n">
        <f aca="false">J70*J$1</f>
        <v>0</v>
      </c>
      <c r="Z70" s="1" t="n">
        <f aca="false">K70*K$1</f>
        <v>0</v>
      </c>
      <c r="AA70" s="1" t="n">
        <f aca="false">L70*L$1</f>
        <v>0</v>
      </c>
      <c r="AB70" s="1" t="n">
        <f aca="false">M70*M$1</f>
        <v>0</v>
      </c>
      <c r="AC70" s="1" t="n">
        <f aca="false">N70*N$1</f>
        <v>0</v>
      </c>
      <c r="AD70" s="1" t="n">
        <f aca="false">O70*O$1</f>
        <v>0</v>
      </c>
      <c r="AE70" s="1" t="n">
        <f aca="false">P70*P$1</f>
        <v>983040</v>
      </c>
      <c r="AF70" s="1" t="n">
        <f aca="false">SUM(Q70:AE70)</f>
        <v>983041</v>
      </c>
      <c r="AG70" s="1" t="str">
        <f aca="false">DEC2HEX(AF70)</f>
        <v>F0001</v>
      </c>
    </row>
    <row r="71" customFormat="false" ht="13.5" hidden="false" customHeight="false" outlineLevel="0" collapsed="false">
      <c r="A71" s="1" t="s">
        <v>83</v>
      </c>
      <c r="B71" s="1" t="n">
        <v>3</v>
      </c>
      <c r="P71" s="1" t="n">
        <v>15</v>
      </c>
      <c r="Q71" s="1" t="n">
        <f aca="false">B71*B$1</f>
        <v>3</v>
      </c>
      <c r="R71" s="1" t="n">
        <f aca="false">C71*C$1</f>
        <v>0</v>
      </c>
      <c r="S71" s="1" t="n">
        <f aca="false">D71*D$1</f>
        <v>0</v>
      </c>
      <c r="T71" s="1" t="n">
        <f aca="false">E71*E$1</f>
        <v>0</v>
      </c>
      <c r="U71" s="1" t="n">
        <f aca="false">F71*F$1</f>
        <v>0</v>
      </c>
      <c r="V71" s="1" t="n">
        <f aca="false">G71*G$1</f>
        <v>0</v>
      </c>
      <c r="W71" s="1" t="n">
        <f aca="false">H71*H$1</f>
        <v>0</v>
      </c>
      <c r="X71" s="1" t="n">
        <f aca="false">I71*I$1</f>
        <v>0</v>
      </c>
      <c r="Y71" s="1" t="n">
        <f aca="false">J71*J$1</f>
        <v>0</v>
      </c>
      <c r="Z71" s="1" t="n">
        <f aca="false">K71*K$1</f>
        <v>0</v>
      </c>
      <c r="AA71" s="1" t="n">
        <f aca="false">L71*L$1</f>
        <v>0</v>
      </c>
      <c r="AB71" s="1" t="n">
        <f aca="false">M71*M$1</f>
        <v>0</v>
      </c>
      <c r="AC71" s="1" t="n">
        <f aca="false">N71*N$1</f>
        <v>0</v>
      </c>
      <c r="AD71" s="1" t="n">
        <f aca="false">O71*O$1</f>
        <v>0</v>
      </c>
      <c r="AE71" s="1" t="n">
        <f aca="false">P71*P$1</f>
        <v>983040</v>
      </c>
      <c r="AF71" s="1" t="n">
        <f aca="false">SUM(Q71:AE71)</f>
        <v>983043</v>
      </c>
      <c r="AG71" s="1" t="str">
        <f aca="false">DEC2HEX(AF71)</f>
        <v>F0003</v>
      </c>
    </row>
    <row r="72" customFormat="false" ht="13.5" hidden="false" customHeight="false" outlineLevel="0" collapsed="false">
      <c r="A72" s="1" t="s">
        <v>84</v>
      </c>
      <c r="B72" s="1" t="n">
        <v>2</v>
      </c>
      <c r="D72" s="1" t="n">
        <v>1</v>
      </c>
      <c r="E72" s="1" t="n">
        <v>1</v>
      </c>
      <c r="Q72" s="1" t="n">
        <f aca="false">B72*B$1</f>
        <v>2</v>
      </c>
      <c r="R72" s="1" t="n">
        <f aca="false">C72*C$1</f>
        <v>0</v>
      </c>
      <c r="S72" s="1" t="n">
        <f aca="false">D72*D$1</f>
        <v>16384</v>
      </c>
      <c r="T72" s="1" t="n">
        <f aca="false">E72*E$1</f>
        <v>8192</v>
      </c>
      <c r="U72" s="1" t="n">
        <f aca="false">F72*F$1</f>
        <v>0</v>
      </c>
      <c r="V72" s="1" t="n">
        <f aca="false">G72*G$1</f>
        <v>0</v>
      </c>
      <c r="W72" s="1" t="n">
        <f aca="false">H72*H$1</f>
        <v>0</v>
      </c>
      <c r="X72" s="1" t="n">
        <f aca="false">I72*I$1</f>
        <v>0</v>
      </c>
      <c r="Y72" s="1" t="n">
        <f aca="false">J72*J$1</f>
        <v>0</v>
      </c>
      <c r="Z72" s="1" t="n">
        <f aca="false">K72*K$1</f>
        <v>0</v>
      </c>
      <c r="AA72" s="1" t="n">
        <f aca="false">L72*L$1</f>
        <v>0</v>
      </c>
      <c r="AB72" s="1" t="n">
        <f aca="false">M72*M$1</f>
        <v>0</v>
      </c>
      <c r="AC72" s="1" t="n">
        <f aca="false">N72*N$1</f>
        <v>0</v>
      </c>
      <c r="AD72" s="1" t="n">
        <f aca="false">O72*O$1</f>
        <v>0</v>
      </c>
      <c r="AE72" s="1" t="n">
        <f aca="false">P72*P$1</f>
        <v>0</v>
      </c>
      <c r="AF72" s="1" t="n">
        <f aca="false">SUM(Q72:AE72)</f>
        <v>24578</v>
      </c>
      <c r="AG72" s="1" t="str">
        <f aca="false">DEC2HEX(AF72)</f>
        <v>6002</v>
      </c>
    </row>
    <row r="73" customFormat="false" ht="13.5" hidden="false" customHeight="false" outlineLevel="0" collapsed="false">
      <c r="A73" s="1" t="s">
        <v>85</v>
      </c>
      <c r="B73" s="1" t="n">
        <v>3</v>
      </c>
      <c r="D73" s="1" t="n">
        <v>1</v>
      </c>
      <c r="E73" s="1" t="n">
        <v>1</v>
      </c>
      <c r="Q73" s="1" t="n">
        <f aca="false">B73*B$1</f>
        <v>3</v>
      </c>
      <c r="R73" s="1" t="n">
        <f aca="false">C73*C$1</f>
        <v>0</v>
      </c>
      <c r="S73" s="1" t="n">
        <f aca="false">D73*D$1</f>
        <v>16384</v>
      </c>
      <c r="T73" s="1" t="n">
        <f aca="false">E73*E$1</f>
        <v>8192</v>
      </c>
      <c r="U73" s="1" t="n">
        <f aca="false">F73*F$1</f>
        <v>0</v>
      </c>
      <c r="V73" s="1" t="n">
        <f aca="false">G73*G$1</f>
        <v>0</v>
      </c>
      <c r="W73" s="1" t="n">
        <f aca="false">H73*H$1</f>
        <v>0</v>
      </c>
      <c r="X73" s="1" t="n">
        <f aca="false">I73*I$1</f>
        <v>0</v>
      </c>
      <c r="Y73" s="1" t="n">
        <f aca="false">J73*J$1</f>
        <v>0</v>
      </c>
      <c r="Z73" s="1" t="n">
        <f aca="false">K73*K$1</f>
        <v>0</v>
      </c>
      <c r="AA73" s="1" t="n">
        <f aca="false">L73*L$1</f>
        <v>0</v>
      </c>
      <c r="AB73" s="1" t="n">
        <f aca="false">M73*M$1</f>
        <v>0</v>
      </c>
      <c r="AC73" s="1" t="n">
        <f aca="false">N73*N$1</f>
        <v>0</v>
      </c>
      <c r="AD73" s="1" t="n">
        <f aca="false">O73*O$1</f>
        <v>0</v>
      </c>
      <c r="AE73" s="1" t="n">
        <f aca="false">P73*P$1</f>
        <v>0</v>
      </c>
      <c r="AF73" s="1" t="n">
        <f aca="false">SUM(Q73:AE73)</f>
        <v>24579</v>
      </c>
      <c r="AG73" s="1" t="str">
        <f aca="false">DEC2HEX(AF73)</f>
        <v>6003</v>
      </c>
    </row>
    <row r="74" customFormat="false" ht="13.5" hidden="false" customHeight="false" outlineLevel="0" collapsed="false">
      <c r="A74" s="1" t="s">
        <v>86</v>
      </c>
      <c r="B74" s="1" t="n">
        <v>2</v>
      </c>
      <c r="D74" s="1" t="n">
        <v>1</v>
      </c>
      <c r="Q74" s="1" t="n">
        <f aca="false">B74*B$1</f>
        <v>2</v>
      </c>
      <c r="R74" s="1" t="n">
        <f aca="false">C74*C$1</f>
        <v>0</v>
      </c>
      <c r="S74" s="1" t="n">
        <f aca="false">D74*D$1</f>
        <v>16384</v>
      </c>
      <c r="T74" s="1" t="n">
        <f aca="false">E74*E$1</f>
        <v>0</v>
      </c>
      <c r="U74" s="1" t="n">
        <f aca="false">F74*F$1</f>
        <v>0</v>
      </c>
      <c r="V74" s="1" t="n">
        <f aca="false">G74*G$1</f>
        <v>0</v>
      </c>
      <c r="W74" s="1" t="n">
        <f aca="false">H74*H$1</f>
        <v>0</v>
      </c>
      <c r="X74" s="1" t="n">
        <f aca="false">I74*I$1</f>
        <v>0</v>
      </c>
      <c r="Y74" s="1" t="n">
        <f aca="false">J74*J$1</f>
        <v>0</v>
      </c>
      <c r="Z74" s="1" t="n">
        <f aca="false">K74*K$1</f>
        <v>0</v>
      </c>
      <c r="AA74" s="1" t="n">
        <f aca="false">L74*L$1</f>
        <v>0</v>
      </c>
      <c r="AB74" s="1" t="n">
        <f aca="false">M74*M$1</f>
        <v>0</v>
      </c>
      <c r="AC74" s="1" t="n">
        <f aca="false">N74*N$1</f>
        <v>0</v>
      </c>
      <c r="AD74" s="1" t="n">
        <f aca="false">O74*O$1</f>
        <v>0</v>
      </c>
      <c r="AE74" s="1" t="n">
        <f aca="false">P74*P$1</f>
        <v>0</v>
      </c>
      <c r="AF74" s="1" t="n">
        <f aca="false">SUM(Q74:AE74)</f>
        <v>16386</v>
      </c>
      <c r="AG74" s="1" t="str">
        <f aca="false">DEC2HEX(AF74)</f>
        <v>4002</v>
      </c>
    </row>
    <row r="75" customFormat="false" ht="13.5" hidden="false" customHeight="false" outlineLevel="0" collapsed="false">
      <c r="A75" s="1" t="s">
        <v>87</v>
      </c>
      <c r="B75" s="1" t="n">
        <v>1</v>
      </c>
      <c r="C75" s="1" t="n">
        <v>1</v>
      </c>
      <c r="E75" s="1" t="n">
        <v>1</v>
      </c>
      <c r="Q75" s="1" t="n">
        <f aca="false">B75*B$1</f>
        <v>1</v>
      </c>
      <c r="R75" s="1" t="n">
        <f aca="false">C75*C$1</f>
        <v>32768</v>
      </c>
      <c r="S75" s="1" t="n">
        <f aca="false">D75*D$1</f>
        <v>0</v>
      </c>
      <c r="T75" s="1" t="n">
        <f aca="false">E75*E$1</f>
        <v>8192</v>
      </c>
      <c r="U75" s="1" t="n">
        <f aca="false">F75*F$1</f>
        <v>0</v>
      </c>
      <c r="V75" s="1" t="n">
        <f aca="false">G75*G$1</f>
        <v>0</v>
      </c>
      <c r="W75" s="1" t="n">
        <f aca="false">H75*H$1</f>
        <v>0</v>
      </c>
      <c r="X75" s="1" t="n">
        <f aca="false">I75*I$1</f>
        <v>0</v>
      </c>
      <c r="Y75" s="1" t="n">
        <f aca="false">J75*J$1</f>
        <v>0</v>
      </c>
      <c r="Z75" s="1" t="n">
        <f aca="false">K75*K$1</f>
        <v>0</v>
      </c>
      <c r="AA75" s="1" t="n">
        <f aca="false">L75*L$1</f>
        <v>0</v>
      </c>
      <c r="AB75" s="1" t="n">
        <f aca="false">M75*M$1</f>
        <v>0</v>
      </c>
      <c r="AC75" s="1" t="n">
        <f aca="false">N75*N$1</f>
        <v>0</v>
      </c>
      <c r="AD75" s="1" t="n">
        <f aca="false">O75*O$1</f>
        <v>0</v>
      </c>
      <c r="AE75" s="1" t="n">
        <f aca="false">P75*P$1</f>
        <v>0</v>
      </c>
      <c r="AF75" s="1" t="n">
        <f aca="false">SUM(Q75:AE75)</f>
        <v>40961</v>
      </c>
      <c r="AG75" s="1" t="str">
        <f aca="false">DEC2HEX(AF75)</f>
        <v>A001</v>
      </c>
    </row>
    <row r="76" customFormat="false" ht="13.5" hidden="false" customHeight="false" outlineLevel="0" collapsed="false">
      <c r="A76" s="1" t="s">
        <v>88</v>
      </c>
      <c r="B76" s="1" t="n">
        <v>1</v>
      </c>
      <c r="C76" s="1" t="n">
        <v>1</v>
      </c>
      <c r="Q76" s="1" t="n">
        <f aca="false">B76*B$1</f>
        <v>1</v>
      </c>
      <c r="R76" s="1" t="n">
        <f aca="false">C76*C$1</f>
        <v>32768</v>
      </c>
      <c r="S76" s="1" t="n">
        <f aca="false">D76*D$1</f>
        <v>0</v>
      </c>
      <c r="T76" s="1" t="n">
        <f aca="false">E76*E$1</f>
        <v>0</v>
      </c>
      <c r="U76" s="1" t="n">
        <f aca="false">F76*F$1</f>
        <v>0</v>
      </c>
      <c r="V76" s="1" t="n">
        <f aca="false">G76*G$1</f>
        <v>0</v>
      </c>
      <c r="W76" s="1" t="n">
        <f aca="false">H76*H$1</f>
        <v>0</v>
      </c>
      <c r="X76" s="1" t="n">
        <f aca="false">I76*I$1</f>
        <v>0</v>
      </c>
      <c r="Y76" s="1" t="n">
        <f aca="false">J76*J$1</f>
        <v>0</v>
      </c>
      <c r="Z76" s="1" t="n">
        <f aca="false">K76*K$1</f>
        <v>0</v>
      </c>
      <c r="AA76" s="1" t="n">
        <f aca="false">L76*L$1</f>
        <v>0</v>
      </c>
      <c r="AB76" s="1" t="n">
        <f aca="false">M76*M$1</f>
        <v>0</v>
      </c>
      <c r="AC76" s="1" t="n">
        <f aca="false">N76*N$1</f>
        <v>0</v>
      </c>
      <c r="AD76" s="1" t="n">
        <f aca="false">O76*O$1</f>
        <v>0</v>
      </c>
      <c r="AE76" s="1" t="n">
        <f aca="false">P76*P$1</f>
        <v>0</v>
      </c>
      <c r="AF76" s="1" t="n">
        <f aca="false">SUM(Q76:AE76)</f>
        <v>32769</v>
      </c>
      <c r="AG76" s="1" t="str">
        <f aca="false">DEC2HEX(AF76)</f>
        <v>8001</v>
      </c>
    </row>
    <row r="77" customFormat="false" ht="13.5" hidden="false" customHeight="false" outlineLevel="0" collapsed="false">
      <c r="A77" s="1" t="s">
        <v>89</v>
      </c>
      <c r="P77" s="1" t="n">
        <v>3</v>
      </c>
      <c r="Q77" s="1" t="n">
        <f aca="false">B77*B$1</f>
        <v>0</v>
      </c>
      <c r="R77" s="1" t="n">
        <f aca="false">C77*C$1</f>
        <v>0</v>
      </c>
      <c r="S77" s="1" t="n">
        <f aca="false">D77*D$1</f>
        <v>0</v>
      </c>
      <c r="T77" s="1" t="n">
        <f aca="false">E77*E$1</f>
        <v>0</v>
      </c>
      <c r="U77" s="1" t="n">
        <f aca="false">F77*F$1</f>
        <v>0</v>
      </c>
      <c r="V77" s="1" t="n">
        <f aca="false">G77*G$1</f>
        <v>0</v>
      </c>
      <c r="W77" s="1" t="n">
        <f aca="false">H77*H$1</f>
        <v>0</v>
      </c>
      <c r="X77" s="1" t="n">
        <f aca="false">I77*I$1</f>
        <v>0</v>
      </c>
      <c r="Y77" s="1" t="n">
        <f aca="false">J77*J$1</f>
        <v>0</v>
      </c>
      <c r="Z77" s="1" t="n">
        <f aca="false">K77*K$1</f>
        <v>0</v>
      </c>
      <c r="AA77" s="1" t="n">
        <f aca="false">L77*L$1</f>
        <v>0</v>
      </c>
      <c r="AB77" s="1" t="n">
        <f aca="false">M77*M$1</f>
        <v>0</v>
      </c>
      <c r="AC77" s="1" t="n">
        <f aca="false">N77*N$1</f>
        <v>0</v>
      </c>
      <c r="AD77" s="1" t="n">
        <f aca="false">O77*O$1</f>
        <v>0</v>
      </c>
      <c r="AE77" s="1" t="n">
        <f aca="false">P77*P$1</f>
        <v>196608</v>
      </c>
      <c r="AF77" s="1" t="n">
        <f aca="false">SUM(Q77:AE77)</f>
        <v>196608</v>
      </c>
      <c r="AG77" s="1" t="str">
        <f aca="false">DEC2HEX(AF77)</f>
        <v>30000</v>
      </c>
    </row>
    <row r="78" customFormat="false" ht="13.5" hidden="false" customHeight="false" outlineLevel="0" collapsed="false">
      <c r="A78" s="1" t="s">
        <v>90</v>
      </c>
      <c r="B78" s="1" t="n">
        <v>2</v>
      </c>
      <c r="P78" s="1" t="n">
        <v>4</v>
      </c>
      <c r="Q78" s="1" t="n">
        <f aca="false">B78*B$1</f>
        <v>2</v>
      </c>
      <c r="R78" s="1" t="n">
        <f aca="false">C78*C$1</f>
        <v>0</v>
      </c>
      <c r="S78" s="1" t="n">
        <f aca="false">D78*D$1</f>
        <v>0</v>
      </c>
      <c r="T78" s="1" t="n">
        <f aca="false">E78*E$1</f>
        <v>0</v>
      </c>
      <c r="U78" s="1" t="n">
        <f aca="false">F78*F$1</f>
        <v>0</v>
      </c>
      <c r="V78" s="1" t="n">
        <f aca="false">G78*G$1</f>
        <v>0</v>
      </c>
      <c r="W78" s="1" t="n">
        <f aca="false">H78*H$1</f>
        <v>0</v>
      </c>
      <c r="X78" s="1" t="n">
        <f aca="false">I78*I$1</f>
        <v>0</v>
      </c>
      <c r="Y78" s="1" t="n">
        <f aca="false">J78*J$1</f>
        <v>0</v>
      </c>
      <c r="Z78" s="1" t="n">
        <f aca="false">K78*K$1</f>
        <v>0</v>
      </c>
      <c r="AA78" s="1" t="n">
        <f aca="false">L78*L$1</f>
        <v>0</v>
      </c>
      <c r="AB78" s="1" t="n">
        <f aca="false">M78*M$1</f>
        <v>0</v>
      </c>
      <c r="AC78" s="1" t="n">
        <f aca="false">N78*N$1</f>
        <v>0</v>
      </c>
      <c r="AD78" s="1" t="n">
        <f aca="false">O78*O$1</f>
        <v>0</v>
      </c>
      <c r="AE78" s="1" t="n">
        <f aca="false">P78*P$1</f>
        <v>262144</v>
      </c>
      <c r="AF78" s="1" t="n">
        <f aca="false">SUM(Q78:AE78)</f>
        <v>262146</v>
      </c>
      <c r="AG78" s="1" t="str">
        <f aca="false">DEC2HEX(AF78)</f>
        <v>40002</v>
      </c>
    </row>
    <row r="79" customFormat="false" ht="13.5" hidden="false" customHeight="false" outlineLevel="0" collapsed="false">
      <c r="A79" s="1" t="s">
        <v>91</v>
      </c>
      <c r="B79" s="1" t="n">
        <v>1</v>
      </c>
      <c r="P79" s="1" t="n">
        <v>4</v>
      </c>
      <c r="Q79" s="1" t="n">
        <f aca="false">B79*B$1</f>
        <v>1</v>
      </c>
      <c r="R79" s="1" t="n">
        <f aca="false">C79*C$1</f>
        <v>0</v>
      </c>
      <c r="S79" s="1" t="n">
        <f aca="false">D79*D$1</f>
        <v>0</v>
      </c>
      <c r="T79" s="1" t="n">
        <f aca="false">E79*E$1</f>
        <v>0</v>
      </c>
      <c r="U79" s="1" t="n">
        <f aca="false">F79*F$1</f>
        <v>0</v>
      </c>
      <c r="V79" s="1" t="n">
        <f aca="false">G79*G$1</f>
        <v>0</v>
      </c>
      <c r="W79" s="1" t="n">
        <f aca="false">H79*H$1</f>
        <v>0</v>
      </c>
      <c r="X79" s="1" t="n">
        <f aca="false">I79*I$1</f>
        <v>0</v>
      </c>
      <c r="Y79" s="1" t="n">
        <f aca="false">J79*J$1</f>
        <v>0</v>
      </c>
      <c r="Z79" s="1" t="n">
        <f aca="false">K79*K$1</f>
        <v>0</v>
      </c>
      <c r="AA79" s="1" t="n">
        <f aca="false">L79*L$1</f>
        <v>0</v>
      </c>
      <c r="AB79" s="1" t="n">
        <f aca="false">M79*M$1</f>
        <v>0</v>
      </c>
      <c r="AC79" s="1" t="n">
        <f aca="false">N79*N$1</f>
        <v>0</v>
      </c>
      <c r="AD79" s="1" t="n">
        <f aca="false">O79*O$1</f>
        <v>0</v>
      </c>
      <c r="AE79" s="1" t="n">
        <f aca="false">P79*P$1</f>
        <v>262144</v>
      </c>
      <c r="AF79" s="1" t="n">
        <f aca="false">SUM(Q79:AE79)</f>
        <v>262145</v>
      </c>
      <c r="AG79" s="1" t="str">
        <f aca="false">DEC2HEX(AF79)</f>
        <v>40001</v>
      </c>
    </row>
    <row r="80" customFormat="false" ht="13.5" hidden="false" customHeight="false" outlineLevel="0" collapsed="false">
      <c r="A80" s="1" t="s">
        <v>92</v>
      </c>
      <c r="B80" s="1" t="n">
        <v>3</v>
      </c>
      <c r="P80" s="1" t="n">
        <v>4</v>
      </c>
      <c r="Q80" s="1" t="n">
        <f aca="false">B80*B$1</f>
        <v>3</v>
      </c>
      <c r="R80" s="1" t="n">
        <f aca="false">C80*C$1</f>
        <v>0</v>
      </c>
      <c r="S80" s="1" t="n">
        <f aca="false">D80*D$1</f>
        <v>0</v>
      </c>
      <c r="T80" s="1" t="n">
        <f aca="false">E80*E$1</f>
        <v>0</v>
      </c>
      <c r="U80" s="1" t="n">
        <f aca="false">F80*F$1</f>
        <v>0</v>
      </c>
      <c r="V80" s="1" t="n">
        <f aca="false">G80*G$1</f>
        <v>0</v>
      </c>
      <c r="W80" s="1" t="n">
        <f aca="false">H80*H$1</f>
        <v>0</v>
      </c>
      <c r="X80" s="1" t="n">
        <f aca="false">I80*I$1</f>
        <v>0</v>
      </c>
      <c r="Y80" s="1" t="n">
        <f aca="false">J80*J$1</f>
        <v>0</v>
      </c>
      <c r="Z80" s="1" t="n">
        <f aca="false">K80*K$1</f>
        <v>0</v>
      </c>
      <c r="AA80" s="1" t="n">
        <f aca="false">L80*L$1</f>
        <v>0</v>
      </c>
      <c r="AB80" s="1" t="n">
        <f aca="false">M80*M$1</f>
        <v>0</v>
      </c>
      <c r="AC80" s="1" t="n">
        <f aca="false">N80*N$1</f>
        <v>0</v>
      </c>
      <c r="AD80" s="1" t="n">
        <f aca="false">O80*O$1</f>
        <v>0</v>
      </c>
      <c r="AE80" s="1" t="n">
        <f aca="false">P80*P$1</f>
        <v>262144</v>
      </c>
      <c r="AF80" s="1" t="n">
        <f aca="false">SUM(Q80:AE80)</f>
        <v>262147</v>
      </c>
      <c r="AG80" s="1" t="str">
        <f aca="false">DEC2HEX(AF80)</f>
        <v>40003</v>
      </c>
    </row>
    <row r="81" customFormat="false" ht="13.5" hidden="false" customHeight="false" outlineLevel="0" collapsed="false">
      <c r="A81" s="1" t="s">
        <v>93</v>
      </c>
      <c r="B81" s="1" t="n">
        <v>2</v>
      </c>
      <c r="J81" s="1" t="n">
        <v>1</v>
      </c>
      <c r="K81" s="1" t="n">
        <v>1</v>
      </c>
      <c r="O81" s="1" t="n">
        <v>1</v>
      </c>
      <c r="Q81" s="1" t="n">
        <f aca="false">B81*B$1</f>
        <v>2</v>
      </c>
      <c r="R81" s="1" t="n">
        <f aca="false">C81*C$1</f>
        <v>0</v>
      </c>
      <c r="S81" s="1" t="n">
        <f aca="false">D81*D$1</f>
        <v>0</v>
      </c>
      <c r="T81" s="1" t="n">
        <f aca="false">E81*E$1</f>
        <v>0</v>
      </c>
      <c r="U81" s="1" t="n">
        <f aca="false">F81*F$1</f>
        <v>0</v>
      </c>
      <c r="V81" s="1" t="n">
        <f aca="false">G81*G$1</f>
        <v>0</v>
      </c>
      <c r="W81" s="1" t="n">
        <f aca="false">H81*H$1</f>
        <v>0</v>
      </c>
      <c r="X81" s="1" t="n">
        <f aca="false">I81*I$1</f>
        <v>0</v>
      </c>
      <c r="Y81" s="1" t="n">
        <f aca="false">J81*J$1</f>
        <v>256</v>
      </c>
      <c r="Z81" s="1" t="n">
        <f aca="false">K81*K$1</f>
        <v>128</v>
      </c>
      <c r="AA81" s="1" t="n">
        <f aca="false">L81*L$1</f>
        <v>0</v>
      </c>
      <c r="AB81" s="1" t="n">
        <f aca="false">M81*M$1</f>
        <v>0</v>
      </c>
      <c r="AC81" s="1" t="n">
        <f aca="false">N81*N$1</f>
        <v>0</v>
      </c>
      <c r="AD81" s="1" t="n">
        <f aca="false">O81*O$1</f>
        <v>8</v>
      </c>
      <c r="AE81" s="1" t="n">
        <f aca="false">P81*P$1</f>
        <v>0</v>
      </c>
      <c r="AF81" s="1" t="n">
        <f aca="false">SUM(Q81:AE81)</f>
        <v>394</v>
      </c>
      <c r="AG81" s="1" t="str">
        <f aca="false">DEC2HEX(AF81)</f>
        <v>18A</v>
      </c>
    </row>
    <row r="82" customFormat="false" ht="13.5" hidden="false" customHeight="false" outlineLevel="0" collapsed="false">
      <c r="A82" s="1" t="s">
        <v>94</v>
      </c>
      <c r="B82" s="1" t="n">
        <v>2</v>
      </c>
      <c r="J82" s="1" t="n">
        <v>1</v>
      </c>
      <c r="K82" s="1" t="n">
        <v>1</v>
      </c>
      <c r="N82" s="1" t="n">
        <v>1</v>
      </c>
      <c r="O82" s="1" t="n">
        <v>1</v>
      </c>
      <c r="Q82" s="1" t="n">
        <f aca="false">B82*B$1</f>
        <v>2</v>
      </c>
      <c r="R82" s="1" t="n">
        <f aca="false">C82*C$1</f>
        <v>0</v>
      </c>
      <c r="S82" s="1" t="n">
        <f aca="false">D82*D$1</f>
        <v>0</v>
      </c>
      <c r="T82" s="1" t="n">
        <f aca="false">E82*E$1</f>
        <v>0</v>
      </c>
      <c r="U82" s="1" t="n">
        <f aca="false">F82*F$1</f>
        <v>0</v>
      </c>
      <c r="V82" s="1" t="n">
        <f aca="false">G82*G$1</f>
        <v>0</v>
      </c>
      <c r="W82" s="1" t="n">
        <f aca="false">H82*H$1</f>
        <v>0</v>
      </c>
      <c r="X82" s="1" t="n">
        <f aca="false">I82*I$1</f>
        <v>0</v>
      </c>
      <c r="Y82" s="1" t="n">
        <f aca="false">J82*J$1</f>
        <v>256</v>
      </c>
      <c r="Z82" s="1" t="n">
        <f aca="false">K82*K$1</f>
        <v>128</v>
      </c>
      <c r="AA82" s="1" t="n">
        <f aca="false">L82*L$1</f>
        <v>0</v>
      </c>
      <c r="AB82" s="1" t="n">
        <f aca="false">M82*M$1</f>
        <v>0</v>
      </c>
      <c r="AC82" s="1" t="n">
        <f aca="false">N82*N$1</f>
        <v>16</v>
      </c>
      <c r="AD82" s="1" t="n">
        <f aca="false">O82*O$1</f>
        <v>8</v>
      </c>
      <c r="AE82" s="1" t="n">
        <f aca="false">P82*P$1</f>
        <v>0</v>
      </c>
      <c r="AF82" s="1" t="n">
        <f aca="false">SUM(Q82:AE82)</f>
        <v>410</v>
      </c>
      <c r="AG82" s="1" t="str">
        <f aca="false">DEC2HEX(AF82)</f>
        <v>19A</v>
      </c>
    </row>
    <row r="83" customFormat="false" ht="13.5" hidden="false" customHeight="false" outlineLevel="0" collapsed="false">
      <c r="A83" s="1" t="s">
        <v>95</v>
      </c>
      <c r="B83" s="1" t="n">
        <v>1</v>
      </c>
      <c r="J83" s="1" t="n">
        <v>1</v>
      </c>
      <c r="K83" s="1" t="n">
        <v>1</v>
      </c>
      <c r="O83" s="1" t="n">
        <v>1</v>
      </c>
      <c r="Q83" s="1" t="n">
        <f aca="false">B83*B$1</f>
        <v>1</v>
      </c>
      <c r="R83" s="1" t="n">
        <f aca="false">C83*C$1</f>
        <v>0</v>
      </c>
      <c r="S83" s="1" t="n">
        <f aca="false">D83*D$1</f>
        <v>0</v>
      </c>
      <c r="T83" s="1" t="n">
        <f aca="false">E83*E$1</f>
        <v>0</v>
      </c>
      <c r="U83" s="1" t="n">
        <f aca="false">F83*F$1</f>
        <v>0</v>
      </c>
      <c r="V83" s="1" t="n">
        <f aca="false">G83*G$1</f>
        <v>0</v>
      </c>
      <c r="W83" s="1" t="n">
        <f aca="false">H83*H$1</f>
        <v>0</v>
      </c>
      <c r="X83" s="1" t="n">
        <f aca="false">I83*I$1</f>
        <v>0</v>
      </c>
      <c r="Y83" s="1" t="n">
        <f aca="false">J83*J$1</f>
        <v>256</v>
      </c>
      <c r="Z83" s="1" t="n">
        <f aca="false">K83*K$1</f>
        <v>128</v>
      </c>
      <c r="AA83" s="1" t="n">
        <f aca="false">L83*L$1</f>
        <v>0</v>
      </c>
      <c r="AB83" s="1" t="n">
        <f aca="false">M83*M$1</f>
        <v>0</v>
      </c>
      <c r="AC83" s="1" t="n">
        <f aca="false">N83*N$1</f>
        <v>0</v>
      </c>
      <c r="AD83" s="1" t="n">
        <f aca="false">O83*O$1</f>
        <v>8</v>
      </c>
      <c r="AE83" s="1" t="n">
        <f aca="false">P83*P$1</f>
        <v>0</v>
      </c>
      <c r="AF83" s="1" t="n">
        <f aca="false">SUM(Q83:AE83)</f>
        <v>393</v>
      </c>
      <c r="AG83" s="1" t="str">
        <f aca="false">DEC2HEX(AF83)</f>
        <v>189</v>
      </c>
    </row>
    <row r="84" customFormat="false" ht="13.5" hidden="false" customHeight="false" outlineLevel="0" collapsed="false">
      <c r="A84" s="1" t="s">
        <v>96</v>
      </c>
      <c r="B84" s="1" t="n">
        <v>2</v>
      </c>
      <c r="H84" s="1" t="n">
        <v>1</v>
      </c>
      <c r="O84" s="1" t="n">
        <v>1</v>
      </c>
      <c r="Q84" s="1" t="n">
        <f aca="false">B84*B$1</f>
        <v>2</v>
      </c>
      <c r="R84" s="1" t="n">
        <f aca="false">C84*C$1</f>
        <v>0</v>
      </c>
      <c r="S84" s="1" t="n">
        <f aca="false">D84*D$1</f>
        <v>0</v>
      </c>
      <c r="T84" s="1" t="n">
        <f aca="false">E84*E$1</f>
        <v>0</v>
      </c>
      <c r="U84" s="1" t="n">
        <f aca="false">F84*F$1</f>
        <v>0</v>
      </c>
      <c r="V84" s="1" t="n">
        <f aca="false">G84*G$1</f>
        <v>0</v>
      </c>
      <c r="W84" s="1" t="n">
        <f aca="false">H84*H$1</f>
        <v>1024</v>
      </c>
      <c r="X84" s="1" t="n">
        <f aca="false">I84*I$1</f>
        <v>0</v>
      </c>
      <c r="Y84" s="1" t="n">
        <f aca="false">J84*J$1</f>
        <v>0</v>
      </c>
      <c r="Z84" s="1" t="n">
        <f aca="false">K84*K$1</f>
        <v>0</v>
      </c>
      <c r="AA84" s="1" t="n">
        <f aca="false">L84*L$1</f>
        <v>0</v>
      </c>
      <c r="AB84" s="1" t="n">
        <f aca="false">M84*M$1</f>
        <v>0</v>
      </c>
      <c r="AC84" s="1" t="n">
        <f aca="false">N84*N$1</f>
        <v>0</v>
      </c>
      <c r="AD84" s="1" t="n">
        <f aca="false">O84*O$1</f>
        <v>8</v>
      </c>
      <c r="AE84" s="1" t="n">
        <f aca="false">P84*P$1</f>
        <v>0</v>
      </c>
      <c r="AF84" s="1" t="n">
        <f aca="false">SUM(Q84:AE84)</f>
        <v>1034</v>
      </c>
      <c r="AG84" s="1" t="str">
        <f aca="false">DEC2HEX(AF84)</f>
        <v>40A</v>
      </c>
    </row>
    <row r="85" customFormat="false" ht="13.5" hidden="false" customHeight="false" outlineLevel="0" collapsed="false">
      <c r="A85" s="1" t="s">
        <v>97</v>
      </c>
      <c r="B85" s="1" t="n">
        <v>2</v>
      </c>
      <c r="K85" s="1" t="n">
        <v>1</v>
      </c>
      <c r="O85" s="1" t="n">
        <v>1</v>
      </c>
      <c r="Q85" s="1" t="n">
        <f aca="false">B85*B$1</f>
        <v>2</v>
      </c>
      <c r="R85" s="1" t="n">
        <f aca="false">C85*C$1</f>
        <v>0</v>
      </c>
      <c r="S85" s="1" t="n">
        <f aca="false">D85*D$1</f>
        <v>0</v>
      </c>
      <c r="T85" s="1" t="n">
        <f aca="false">E85*E$1</f>
        <v>0</v>
      </c>
      <c r="U85" s="1" t="n">
        <f aca="false">F85*F$1</f>
        <v>0</v>
      </c>
      <c r="V85" s="1" t="n">
        <f aca="false">G85*G$1</f>
        <v>0</v>
      </c>
      <c r="W85" s="1" t="n">
        <f aca="false">H85*H$1</f>
        <v>0</v>
      </c>
      <c r="X85" s="1" t="n">
        <f aca="false">I85*I$1</f>
        <v>0</v>
      </c>
      <c r="Y85" s="1" t="n">
        <f aca="false">J85*J$1</f>
        <v>0</v>
      </c>
      <c r="Z85" s="1" t="n">
        <f aca="false">K85*K$1</f>
        <v>128</v>
      </c>
      <c r="AA85" s="1" t="n">
        <f aca="false">L85*L$1</f>
        <v>0</v>
      </c>
      <c r="AB85" s="1" t="n">
        <f aca="false">M85*M$1</f>
        <v>0</v>
      </c>
      <c r="AC85" s="1" t="n">
        <f aca="false">N85*N$1</f>
        <v>0</v>
      </c>
      <c r="AD85" s="1" t="n">
        <f aca="false">O85*O$1</f>
        <v>8</v>
      </c>
      <c r="AE85" s="1" t="n">
        <f aca="false">P85*P$1</f>
        <v>0</v>
      </c>
      <c r="AF85" s="1" t="n">
        <f aca="false">SUM(Q85:AE85)</f>
        <v>138</v>
      </c>
      <c r="AG85" s="1" t="str">
        <f aca="false">DEC2HEX(AF85)</f>
        <v>8A</v>
      </c>
    </row>
    <row r="86" customFormat="false" ht="13.5" hidden="false" customHeight="false" outlineLevel="0" collapsed="false">
      <c r="A86" s="1" t="s">
        <v>98</v>
      </c>
      <c r="B86" s="1" t="n">
        <v>2</v>
      </c>
      <c r="K86" s="1" t="n">
        <v>1</v>
      </c>
      <c r="N86" s="1" t="n">
        <v>1</v>
      </c>
      <c r="O86" s="1" t="n">
        <v>1</v>
      </c>
      <c r="Q86" s="1" t="n">
        <f aca="false">B86*B$1</f>
        <v>2</v>
      </c>
      <c r="R86" s="1" t="n">
        <f aca="false">C86*C$1</f>
        <v>0</v>
      </c>
      <c r="S86" s="1" t="n">
        <f aca="false">D86*D$1</f>
        <v>0</v>
      </c>
      <c r="T86" s="1" t="n">
        <f aca="false">E86*E$1</f>
        <v>0</v>
      </c>
      <c r="U86" s="1" t="n">
        <f aca="false">F86*F$1</f>
        <v>0</v>
      </c>
      <c r="V86" s="1" t="n">
        <f aca="false">G86*G$1</f>
        <v>0</v>
      </c>
      <c r="W86" s="1" t="n">
        <f aca="false">H86*H$1</f>
        <v>0</v>
      </c>
      <c r="X86" s="1" t="n">
        <f aca="false">I86*I$1</f>
        <v>0</v>
      </c>
      <c r="Y86" s="1" t="n">
        <f aca="false">J86*J$1</f>
        <v>0</v>
      </c>
      <c r="Z86" s="1" t="n">
        <f aca="false">K86*K$1</f>
        <v>128</v>
      </c>
      <c r="AA86" s="1" t="n">
        <f aca="false">L86*L$1</f>
        <v>0</v>
      </c>
      <c r="AB86" s="1" t="n">
        <f aca="false">M86*M$1</f>
        <v>0</v>
      </c>
      <c r="AC86" s="1" t="n">
        <f aca="false">N86*N$1</f>
        <v>16</v>
      </c>
      <c r="AD86" s="1" t="n">
        <f aca="false">O86*O$1</f>
        <v>8</v>
      </c>
      <c r="AE86" s="1" t="n">
        <f aca="false">P86*P$1</f>
        <v>0</v>
      </c>
      <c r="AF86" s="1" t="n">
        <f aca="false">SUM(Q86:AE86)</f>
        <v>154</v>
      </c>
      <c r="AG86" s="1" t="str">
        <f aca="false">DEC2HEX(AF86)</f>
        <v>9A</v>
      </c>
    </row>
    <row r="87" customFormat="false" ht="13.5" hidden="false" customHeight="false" outlineLevel="0" collapsed="false">
      <c r="A87" s="1" t="s">
        <v>99</v>
      </c>
      <c r="B87" s="1" t="n">
        <v>1</v>
      </c>
      <c r="K87" s="1" t="n">
        <v>1</v>
      </c>
      <c r="O87" s="1" t="n">
        <v>1</v>
      </c>
      <c r="Q87" s="1" t="n">
        <f aca="false">B87*B$1</f>
        <v>1</v>
      </c>
      <c r="R87" s="1" t="n">
        <f aca="false">C87*C$1</f>
        <v>0</v>
      </c>
      <c r="S87" s="1" t="n">
        <f aca="false">D87*D$1</f>
        <v>0</v>
      </c>
      <c r="T87" s="1" t="n">
        <f aca="false">E87*E$1</f>
        <v>0</v>
      </c>
      <c r="U87" s="1" t="n">
        <f aca="false">F87*F$1</f>
        <v>0</v>
      </c>
      <c r="V87" s="1" t="n">
        <f aca="false">G87*G$1</f>
        <v>0</v>
      </c>
      <c r="W87" s="1" t="n">
        <f aca="false">H87*H$1</f>
        <v>0</v>
      </c>
      <c r="X87" s="1" t="n">
        <f aca="false">I87*I$1</f>
        <v>0</v>
      </c>
      <c r="Y87" s="1" t="n">
        <f aca="false">J87*J$1</f>
        <v>0</v>
      </c>
      <c r="Z87" s="1" t="n">
        <f aca="false">K87*K$1</f>
        <v>128</v>
      </c>
      <c r="AA87" s="1" t="n">
        <f aca="false">L87*L$1</f>
        <v>0</v>
      </c>
      <c r="AB87" s="1" t="n">
        <f aca="false">M87*M$1</f>
        <v>0</v>
      </c>
      <c r="AC87" s="1" t="n">
        <f aca="false">N87*N$1</f>
        <v>0</v>
      </c>
      <c r="AD87" s="1" t="n">
        <f aca="false">O87*O$1</f>
        <v>8</v>
      </c>
      <c r="AE87" s="1" t="n">
        <f aca="false">P87*P$1</f>
        <v>0</v>
      </c>
      <c r="AF87" s="1" t="n">
        <f aca="false">SUM(Q87:AE87)</f>
        <v>137</v>
      </c>
      <c r="AG87" s="1" t="str">
        <f aca="false">DEC2HEX(AF87)</f>
        <v>89</v>
      </c>
    </row>
    <row r="88" customFormat="false" ht="13.5" hidden="false" customHeight="false" outlineLevel="0" collapsed="false">
      <c r="A88" s="1" t="s">
        <v>100</v>
      </c>
      <c r="P88" s="1" t="n">
        <v>16</v>
      </c>
      <c r="Q88" s="1" t="n">
        <f aca="false">B88*B$1</f>
        <v>0</v>
      </c>
      <c r="R88" s="1" t="n">
        <f aca="false">C88*C$1</f>
        <v>0</v>
      </c>
      <c r="S88" s="1" t="n">
        <f aca="false">D88*D$1</f>
        <v>0</v>
      </c>
      <c r="T88" s="1" t="n">
        <f aca="false">E88*E$1</f>
        <v>0</v>
      </c>
      <c r="U88" s="1" t="n">
        <f aca="false">F88*F$1</f>
        <v>0</v>
      </c>
      <c r="V88" s="1" t="n">
        <f aca="false">G88*G$1</f>
        <v>0</v>
      </c>
      <c r="W88" s="1" t="n">
        <f aca="false">H88*H$1</f>
        <v>0</v>
      </c>
      <c r="X88" s="1" t="n">
        <f aca="false">I88*I$1</f>
        <v>0</v>
      </c>
      <c r="Y88" s="1" t="n">
        <f aca="false">J88*J$1</f>
        <v>0</v>
      </c>
      <c r="Z88" s="1" t="n">
        <f aca="false">K88*K$1</f>
        <v>0</v>
      </c>
      <c r="AA88" s="1" t="n">
        <f aca="false">L88*L$1</f>
        <v>0</v>
      </c>
      <c r="AB88" s="1" t="n">
        <f aca="false">M88*M$1</f>
        <v>0</v>
      </c>
      <c r="AC88" s="1" t="n">
        <f aca="false">N88*N$1</f>
        <v>0</v>
      </c>
      <c r="AD88" s="1" t="n">
        <f aca="false">O88*O$1</f>
        <v>0</v>
      </c>
      <c r="AE88" s="1" t="n">
        <f aca="false">P88*P$1</f>
        <v>1048576</v>
      </c>
      <c r="AF88" s="1" t="n">
        <f aca="false">SUM(Q88:AE88)</f>
        <v>1048576</v>
      </c>
      <c r="AG88" s="1" t="str">
        <f aca="false">DEC2HEX(AF88)</f>
        <v>100000</v>
      </c>
    </row>
    <row r="89" customFormat="false" ht="13.5" hidden="false" customHeight="false" outlineLevel="0" collapsed="false">
      <c r="A89" s="1" t="s">
        <v>101</v>
      </c>
      <c r="B89" s="1" t="n">
        <v>5</v>
      </c>
      <c r="C89" s="1" t="n">
        <v>1</v>
      </c>
      <c r="Q89" s="1" t="n">
        <f aca="false">B89*B$1</f>
        <v>5</v>
      </c>
      <c r="R89" s="1" t="n">
        <f aca="false">C89*C$1</f>
        <v>32768</v>
      </c>
      <c r="S89" s="1" t="n">
        <f aca="false">D89*D$1</f>
        <v>0</v>
      </c>
      <c r="T89" s="1" t="n">
        <f aca="false">E89*E$1</f>
        <v>0</v>
      </c>
      <c r="U89" s="1" t="n">
        <f aca="false">F89*F$1</f>
        <v>0</v>
      </c>
      <c r="V89" s="1" t="n">
        <f aca="false">G89*G$1</f>
        <v>0</v>
      </c>
      <c r="W89" s="1" t="n">
        <f aca="false">H89*H$1</f>
        <v>0</v>
      </c>
      <c r="X89" s="1" t="n">
        <f aca="false">I89*I$1</f>
        <v>0</v>
      </c>
      <c r="Y89" s="1" t="n">
        <f aca="false">J89*J$1</f>
        <v>0</v>
      </c>
      <c r="Z89" s="1" t="n">
        <f aca="false">K89*K$1</f>
        <v>0</v>
      </c>
      <c r="AA89" s="1" t="n">
        <f aca="false">L89*L$1</f>
        <v>0</v>
      </c>
      <c r="AB89" s="1" t="n">
        <f aca="false">M89*M$1</f>
        <v>0</v>
      </c>
      <c r="AC89" s="1" t="n">
        <f aca="false">N89*N$1</f>
        <v>0</v>
      </c>
      <c r="AD89" s="1" t="n">
        <f aca="false">O89*O$1</f>
        <v>0</v>
      </c>
      <c r="AE89" s="1" t="n">
        <f aca="false">P89*P$1</f>
        <v>0</v>
      </c>
      <c r="AF89" s="1" t="n">
        <f aca="false">SUM(Q89:AE89)</f>
        <v>32773</v>
      </c>
      <c r="AG89" s="1" t="str">
        <f aca="false">DEC2HEX(AF89)</f>
        <v>8005</v>
      </c>
    </row>
    <row r="90" customFormat="false" ht="13.5" hidden="false" customHeight="false" outlineLevel="0" collapsed="false">
      <c r="A90" s="1" t="s">
        <v>102</v>
      </c>
      <c r="B90" s="1" t="n">
        <v>6</v>
      </c>
      <c r="C90" s="1" t="n">
        <v>1</v>
      </c>
      <c r="Q90" s="1" t="n">
        <f aca="false">B90*B$1</f>
        <v>6</v>
      </c>
      <c r="R90" s="1" t="n">
        <f aca="false">C90*C$1</f>
        <v>32768</v>
      </c>
      <c r="S90" s="1" t="n">
        <f aca="false">D90*D$1</f>
        <v>0</v>
      </c>
      <c r="T90" s="1" t="n">
        <f aca="false">E90*E$1</f>
        <v>0</v>
      </c>
      <c r="U90" s="1" t="n">
        <f aca="false">F90*F$1</f>
        <v>0</v>
      </c>
      <c r="V90" s="1" t="n">
        <f aca="false">G90*G$1</f>
        <v>0</v>
      </c>
      <c r="W90" s="1" t="n">
        <f aca="false">H90*H$1</f>
        <v>0</v>
      </c>
      <c r="X90" s="1" t="n">
        <f aca="false">I90*I$1</f>
        <v>0</v>
      </c>
      <c r="Y90" s="1" t="n">
        <f aca="false">J90*J$1</f>
        <v>0</v>
      </c>
      <c r="Z90" s="1" t="n">
        <f aca="false">K90*K$1</f>
        <v>0</v>
      </c>
      <c r="AA90" s="1" t="n">
        <f aca="false">L90*L$1</f>
        <v>0</v>
      </c>
      <c r="AB90" s="1" t="n">
        <f aca="false">M90*M$1</f>
        <v>0</v>
      </c>
      <c r="AC90" s="1" t="n">
        <f aca="false">N90*N$1</f>
        <v>0</v>
      </c>
      <c r="AD90" s="1" t="n">
        <f aca="false">O90*O$1</f>
        <v>0</v>
      </c>
      <c r="AE90" s="1" t="n">
        <f aca="false">P90*P$1</f>
        <v>0</v>
      </c>
      <c r="AF90" s="1" t="n">
        <f aca="false">SUM(Q90:AE90)</f>
        <v>32774</v>
      </c>
      <c r="AG90" s="1" t="str">
        <f aca="false">DEC2HEX(AF90)</f>
        <v>8006</v>
      </c>
    </row>
    <row r="91" customFormat="false" ht="13.5" hidden="false" customHeight="false" outlineLevel="0" collapsed="false">
      <c r="A91" s="1" t="s">
        <v>103</v>
      </c>
      <c r="P91" s="1" t="n">
        <v>23</v>
      </c>
      <c r="Q91" s="1" t="n">
        <f aca="false">B91*B$1</f>
        <v>0</v>
      </c>
      <c r="R91" s="1" t="n">
        <f aca="false">C91*C$1</f>
        <v>0</v>
      </c>
      <c r="S91" s="1" t="n">
        <f aca="false">D91*D$1</f>
        <v>0</v>
      </c>
      <c r="T91" s="1" t="n">
        <f aca="false">E91*E$1</f>
        <v>0</v>
      </c>
      <c r="U91" s="1" t="n">
        <f aca="false">F91*F$1</f>
        <v>0</v>
      </c>
      <c r="V91" s="1" t="n">
        <f aca="false">G91*G$1</f>
        <v>0</v>
      </c>
      <c r="W91" s="1" t="n">
        <f aca="false">H91*H$1</f>
        <v>0</v>
      </c>
      <c r="X91" s="1" t="n">
        <f aca="false">I91*I$1</f>
        <v>0</v>
      </c>
      <c r="Y91" s="1" t="n">
        <f aca="false">J91*J$1</f>
        <v>0</v>
      </c>
      <c r="Z91" s="1" t="n">
        <f aca="false">K91*K$1</f>
        <v>0</v>
      </c>
      <c r="AA91" s="1" t="n">
        <f aca="false">L91*L$1</f>
        <v>0</v>
      </c>
      <c r="AB91" s="1" t="n">
        <f aca="false">M91*M$1</f>
        <v>0</v>
      </c>
      <c r="AC91" s="1" t="n">
        <f aca="false">N91*N$1</f>
        <v>0</v>
      </c>
      <c r="AD91" s="1" t="n">
        <f aca="false">O91*O$1</f>
        <v>0</v>
      </c>
      <c r="AE91" s="1" t="n">
        <f aca="false">P91*P$1</f>
        <v>1507328</v>
      </c>
      <c r="AF91" s="1" t="n">
        <f aca="false">SUM(Q91:AE91)</f>
        <v>1507328</v>
      </c>
      <c r="AG91" s="1" t="str">
        <f aca="false">DEC2HEX(AF91)</f>
        <v>170000</v>
      </c>
    </row>
    <row r="92" customFormat="false" ht="13.5" hidden="false" customHeight="false" outlineLevel="0" collapsed="false">
      <c r="A92" s="1" t="s">
        <v>104</v>
      </c>
      <c r="B92" s="1" t="n">
        <v>2</v>
      </c>
      <c r="F92" s="1" t="n">
        <v>1</v>
      </c>
      <c r="G92" s="1" t="n">
        <v>1</v>
      </c>
      <c r="Q92" s="1" t="n">
        <f aca="false">B92*B$1</f>
        <v>2</v>
      </c>
      <c r="R92" s="1" t="n">
        <f aca="false">C92*C$1</f>
        <v>0</v>
      </c>
      <c r="S92" s="1" t="n">
        <f aca="false">D92*D$1</f>
        <v>0</v>
      </c>
      <c r="T92" s="1" t="n">
        <f aca="false">E92*E$1</f>
        <v>0</v>
      </c>
      <c r="U92" s="1" t="n">
        <f aca="false">F92*F$1</f>
        <v>4096</v>
      </c>
      <c r="V92" s="1" t="n">
        <f aca="false">G92*G$1</f>
        <v>2048</v>
      </c>
      <c r="W92" s="1" t="n">
        <f aca="false">H92*H$1</f>
        <v>0</v>
      </c>
      <c r="X92" s="1" t="n">
        <f aca="false">I92*I$1</f>
        <v>0</v>
      </c>
      <c r="Y92" s="1" t="n">
        <f aca="false">J92*J$1</f>
        <v>0</v>
      </c>
      <c r="Z92" s="1" t="n">
        <f aca="false">K92*K$1</f>
        <v>0</v>
      </c>
      <c r="AA92" s="1" t="n">
        <f aca="false">L92*L$1</f>
        <v>0</v>
      </c>
      <c r="AB92" s="1" t="n">
        <f aca="false">M92*M$1</f>
        <v>0</v>
      </c>
      <c r="AC92" s="1" t="n">
        <f aca="false">N92*N$1</f>
        <v>0</v>
      </c>
      <c r="AD92" s="1" t="n">
        <f aca="false">O92*O$1</f>
        <v>0</v>
      </c>
      <c r="AE92" s="1" t="n">
        <f aca="false">P92*P$1</f>
        <v>0</v>
      </c>
      <c r="AF92" s="1" t="n">
        <f aca="false">SUM(Q92:AE92)</f>
        <v>6146</v>
      </c>
      <c r="AG92" s="1" t="str">
        <f aca="false">DEC2HEX(AF92)</f>
        <v>1802</v>
      </c>
    </row>
    <row r="93" customFormat="false" ht="13.5" hidden="false" customHeight="false" outlineLevel="0" collapsed="false">
      <c r="A93" s="1" t="s">
        <v>105</v>
      </c>
      <c r="B93" s="1" t="n">
        <v>2</v>
      </c>
      <c r="G93" s="1" t="n">
        <v>1</v>
      </c>
      <c r="Q93" s="1" t="n">
        <f aca="false">B93*B$1</f>
        <v>2</v>
      </c>
      <c r="R93" s="1" t="n">
        <f aca="false">C93*C$1</f>
        <v>0</v>
      </c>
      <c r="S93" s="1" t="n">
        <f aca="false">D93*D$1</f>
        <v>0</v>
      </c>
      <c r="T93" s="1" t="n">
        <f aca="false">E93*E$1</f>
        <v>0</v>
      </c>
      <c r="U93" s="1" t="n">
        <f aca="false">F93*F$1</f>
        <v>0</v>
      </c>
      <c r="V93" s="1" t="n">
        <f aca="false">G93*G$1</f>
        <v>2048</v>
      </c>
      <c r="W93" s="1" t="n">
        <f aca="false">H93*H$1</f>
        <v>0</v>
      </c>
      <c r="X93" s="1" t="n">
        <f aca="false">I93*I$1</f>
        <v>0</v>
      </c>
      <c r="Y93" s="1" t="n">
        <f aca="false">J93*J$1</f>
        <v>0</v>
      </c>
      <c r="Z93" s="1" t="n">
        <f aca="false">K93*K$1</f>
        <v>0</v>
      </c>
      <c r="AA93" s="1" t="n">
        <f aca="false">L93*L$1</f>
        <v>0</v>
      </c>
      <c r="AB93" s="1" t="n">
        <f aca="false">M93*M$1</f>
        <v>0</v>
      </c>
      <c r="AC93" s="1" t="n">
        <f aca="false">N93*N$1</f>
        <v>0</v>
      </c>
      <c r="AD93" s="1" t="n">
        <f aca="false">O93*O$1</f>
        <v>0</v>
      </c>
      <c r="AE93" s="1" t="n">
        <f aca="false">P93*P$1</f>
        <v>0</v>
      </c>
      <c r="AF93" s="1" t="n">
        <f aca="false">SUM(Q93:AE93)</f>
        <v>2050</v>
      </c>
      <c r="AG93" s="1" t="str">
        <f aca="false">DEC2HEX(AF93)</f>
        <v>802</v>
      </c>
    </row>
    <row r="94" customFormat="false" ht="13.5" hidden="false" customHeight="false" outlineLevel="0" collapsed="false">
      <c r="A94" s="1" t="s">
        <v>106</v>
      </c>
      <c r="P94" s="1" t="n">
        <v>12</v>
      </c>
      <c r="Q94" s="1" t="n">
        <f aca="false">B94*B$1</f>
        <v>0</v>
      </c>
      <c r="R94" s="1" t="n">
        <f aca="false">C94*C$1</f>
        <v>0</v>
      </c>
      <c r="S94" s="1" t="n">
        <f aca="false">D94*D$1</f>
        <v>0</v>
      </c>
      <c r="T94" s="1" t="n">
        <f aca="false">E94*E$1</f>
        <v>0</v>
      </c>
      <c r="U94" s="1" t="n">
        <f aca="false">F94*F$1</f>
        <v>0</v>
      </c>
      <c r="V94" s="1" t="n">
        <f aca="false">G94*G$1</f>
        <v>0</v>
      </c>
      <c r="W94" s="1" t="n">
        <f aca="false">H94*H$1</f>
        <v>0</v>
      </c>
      <c r="X94" s="1" t="n">
        <f aca="false">I94*I$1</f>
        <v>0</v>
      </c>
      <c r="Y94" s="1" t="n">
        <f aca="false">J94*J$1</f>
        <v>0</v>
      </c>
      <c r="Z94" s="1" t="n">
        <f aca="false">K94*K$1</f>
        <v>0</v>
      </c>
      <c r="AA94" s="1" t="n">
        <f aca="false">L94*L$1</f>
        <v>0</v>
      </c>
      <c r="AB94" s="1" t="n">
        <f aca="false">M94*M$1</f>
        <v>0</v>
      </c>
      <c r="AC94" s="1" t="n">
        <f aca="false">N94*N$1</f>
        <v>0</v>
      </c>
      <c r="AD94" s="1" t="n">
        <f aca="false">O94*O$1</f>
        <v>0</v>
      </c>
      <c r="AE94" s="1" t="n">
        <f aca="false">P94*P$1</f>
        <v>786432</v>
      </c>
      <c r="AF94" s="1" t="n">
        <f aca="false">SUM(Q94:AE94)</f>
        <v>786432</v>
      </c>
      <c r="AG94" s="1" t="str">
        <f aca="false">DEC2HEX(AF94)</f>
        <v>C0000</v>
      </c>
    </row>
    <row r="95" customFormat="false" ht="13.5" hidden="false" customHeight="false" outlineLevel="0" collapsed="false">
      <c r="A95" s="1" t="s">
        <v>107</v>
      </c>
      <c r="P95" s="1" t="n">
        <v>18</v>
      </c>
      <c r="Q95" s="1" t="n">
        <f aca="false">B95*B$1</f>
        <v>0</v>
      </c>
      <c r="R95" s="1" t="n">
        <f aca="false">C95*C$1</f>
        <v>0</v>
      </c>
      <c r="S95" s="1" t="n">
        <f aca="false">D95*D$1</f>
        <v>0</v>
      </c>
      <c r="T95" s="1" t="n">
        <f aca="false">E95*E$1</f>
        <v>0</v>
      </c>
      <c r="U95" s="1" t="n">
        <f aca="false">F95*F$1</f>
        <v>0</v>
      </c>
      <c r="V95" s="1" t="n">
        <f aca="false">G95*G$1</f>
        <v>0</v>
      </c>
      <c r="W95" s="1" t="n">
        <f aca="false">H95*H$1</f>
        <v>0</v>
      </c>
      <c r="X95" s="1" t="n">
        <f aca="false">I95*I$1</f>
        <v>0</v>
      </c>
      <c r="Y95" s="1" t="n">
        <f aca="false">J95*J$1</f>
        <v>0</v>
      </c>
      <c r="Z95" s="1" t="n">
        <f aca="false">K95*K$1</f>
        <v>0</v>
      </c>
      <c r="AA95" s="1" t="n">
        <f aca="false">L95*L$1</f>
        <v>0</v>
      </c>
      <c r="AB95" s="1" t="n">
        <f aca="false">M95*M$1</f>
        <v>0</v>
      </c>
      <c r="AC95" s="1" t="n">
        <f aca="false">N95*N$1</f>
        <v>0</v>
      </c>
      <c r="AD95" s="1" t="n">
        <f aca="false">O95*O$1</f>
        <v>0</v>
      </c>
      <c r="AE95" s="1" t="n">
        <f aca="false">P95*P$1</f>
        <v>1179648</v>
      </c>
      <c r="AF95" s="1" t="n">
        <f aca="false">SUM(Q95:AE95)</f>
        <v>1179648</v>
      </c>
      <c r="AG95" s="1" t="str">
        <f aca="false">DEC2HEX(AF95)</f>
        <v>120000</v>
      </c>
    </row>
  </sheetData>
  <autoFilter ref="A2:AG95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2023-10-09T09:47:43Z</dcterms:created>
  <dc:creator>Micheal Johnson</dc:creator>
  <dc:description/>
  <dc:language>zh-CN</dc:language>
  <cp:lastModifiedBy/>
  <dcterms:modified xsi:type="dcterms:W3CDTF">2026-06-19T16:59:55Z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