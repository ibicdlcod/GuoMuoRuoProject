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uoMuoRuoProject\doc\equip\"/>
    </mc:Choice>
  </mc:AlternateContent>
  <xr:revisionPtr revIDLastSave="0" documentId="13_ncr:1_{BEF65435-B9E3-4611-B05B-5EC2008C3E2D}" xr6:coauthVersionLast="47" xr6:coauthVersionMax="47" xr10:uidLastSave="{00000000-0000-0000-0000-000000000000}"/>
  <bookViews>
    <workbookView xWindow="-98" yWindow="-98" windowWidth="21795" windowHeight="12975" xr2:uid="{B0E1D12B-1F04-41E9-8B75-93C9959A356D}"/>
  </bookViews>
  <sheets>
    <sheet name="Sheet1" sheetId="1" r:id="rId1"/>
  </sheets>
  <definedNames>
    <definedName name="_xlnm._FilterDatabase" localSheetId="0" hidden="1">Sheet1!$A$2:$AG$93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9" i="1" l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Q28" i="1"/>
  <c r="Q15" i="1"/>
  <c r="AD15" i="1"/>
  <c r="AE15" i="1"/>
  <c r="Q76" i="1"/>
  <c r="AD76" i="1"/>
  <c r="AE76" i="1"/>
  <c r="Q44" i="1"/>
  <c r="AD44" i="1"/>
  <c r="AE44" i="1"/>
  <c r="Q13" i="1"/>
  <c r="AD13" i="1"/>
  <c r="AE13" i="1"/>
  <c r="Q70" i="1"/>
  <c r="AD70" i="1"/>
  <c r="AE70" i="1"/>
  <c r="Q68" i="1"/>
  <c r="AD68" i="1"/>
  <c r="AE68" i="1"/>
  <c r="Q86" i="1"/>
  <c r="AD86" i="1"/>
  <c r="AE86" i="1"/>
  <c r="AE25" i="1"/>
  <c r="AD25" i="1"/>
  <c r="Q25" i="1"/>
  <c r="Q87" i="1"/>
  <c r="AD87" i="1"/>
  <c r="AE87" i="1"/>
  <c r="AD58" i="1"/>
  <c r="AE58" i="1"/>
  <c r="Q58" i="1"/>
  <c r="Q33" i="1"/>
  <c r="AD33" i="1"/>
  <c r="AE33" i="1"/>
  <c r="Q36" i="1"/>
  <c r="AD36" i="1"/>
  <c r="AE36" i="1"/>
  <c r="Q50" i="1"/>
  <c r="AD50" i="1"/>
  <c r="AE50" i="1"/>
  <c r="AE80" i="1"/>
  <c r="AD80" i="1"/>
  <c r="Q80" i="1"/>
  <c r="AD31" i="1"/>
  <c r="AE31" i="1"/>
  <c r="Q31" i="1"/>
  <c r="Q91" i="1"/>
  <c r="AD91" i="1"/>
  <c r="AE91" i="1"/>
  <c r="Q27" i="1"/>
  <c r="AD27" i="1"/>
  <c r="AE27" i="1"/>
  <c r="Q49" i="1"/>
  <c r="AD49" i="1"/>
  <c r="AE49" i="1"/>
  <c r="Q10" i="1"/>
  <c r="AD10" i="1"/>
  <c r="AE10" i="1"/>
  <c r="Q48" i="1"/>
  <c r="AD48" i="1"/>
  <c r="AE48" i="1"/>
  <c r="Q92" i="1"/>
  <c r="AD92" i="1"/>
  <c r="AE92" i="1"/>
  <c r="Q8" i="1"/>
  <c r="AD8" i="1"/>
  <c r="AE8" i="1"/>
  <c r="Q9" i="1"/>
  <c r="AD9" i="1"/>
  <c r="AE9" i="1"/>
  <c r="AD63" i="1"/>
  <c r="AE63" i="1"/>
  <c r="Q63" i="1"/>
  <c r="AD60" i="1"/>
  <c r="AE60" i="1"/>
  <c r="Q60" i="1"/>
  <c r="AD79" i="1"/>
  <c r="AE79" i="1"/>
  <c r="AD82" i="1"/>
  <c r="AE82" i="1"/>
  <c r="AD81" i="1"/>
  <c r="AE81" i="1"/>
  <c r="AD84" i="1"/>
  <c r="AE84" i="1"/>
  <c r="AD83" i="1"/>
  <c r="AE83" i="1"/>
  <c r="AD85" i="1"/>
  <c r="AE85" i="1"/>
  <c r="AD88" i="1"/>
  <c r="AE88" i="1"/>
  <c r="AD89" i="1"/>
  <c r="AE89" i="1"/>
  <c r="AD90" i="1"/>
  <c r="AE90" i="1"/>
  <c r="AD93" i="1"/>
  <c r="AE93" i="1"/>
  <c r="AD20" i="1"/>
  <c r="AE20" i="1"/>
  <c r="AD21" i="1"/>
  <c r="AE21" i="1"/>
  <c r="AD32" i="1"/>
  <c r="AE32" i="1"/>
  <c r="AD12" i="1"/>
  <c r="AE12" i="1"/>
  <c r="AD28" i="1"/>
  <c r="AE28" i="1"/>
  <c r="AD17" i="1"/>
  <c r="AE17" i="1"/>
  <c r="AD19" i="1"/>
  <c r="AE19" i="1"/>
  <c r="AD30" i="1"/>
  <c r="AE30" i="1"/>
  <c r="AD18" i="1"/>
  <c r="AE18" i="1"/>
  <c r="AD22" i="1"/>
  <c r="AE22" i="1"/>
  <c r="AD24" i="1"/>
  <c r="AE24" i="1"/>
  <c r="AD52" i="1"/>
  <c r="AE52" i="1"/>
  <c r="AD46" i="1"/>
  <c r="AE46" i="1"/>
  <c r="AD47" i="1"/>
  <c r="AE47" i="1"/>
  <c r="AD5" i="1"/>
  <c r="AE5" i="1"/>
  <c r="AD6" i="1"/>
  <c r="AE6" i="1"/>
  <c r="AD4" i="1"/>
  <c r="AE4" i="1"/>
  <c r="AD26" i="1"/>
  <c r="AE26" i="1"/>
  <c r="AD40" i="1"/>
  <c r="AE40" i="1"/>
  <c r="AD38" i="1"/>
  <c r="AE38" i="1"/>
  <c r="AD35" i="1"/>
  <c r="AE35" i="1"/>
  <c r="AD39" i="1"/>
  <c r="AE39" i="1"/>
  <c r="AD37" i="1"/>
  <c r="AE37" i="1"/>
  <c r="AD34" i="1"/>
  <c r="AE34" i="1"/>
  <c r="AD3" i="1"/>
  <c r="AE3" i="1"/>
  <c r="AD41" i="1"/>
  <c r="AE41" i="1"/>
  <c r="AD7" i="1"/>
  <c r="AE7" i="1"/>
  <c r="AD11" i="1"/>
  <c r="AE11" i="1"/>
  <c r="AD43" i="1"/>
  <c r="AE43" i="1"/>
  <c r="AD42" i="1"/>
  <c r="AE42" i="1"/>
  <c r="AD51" i="1"/>
  <c r="AE51" i="1"/>
  <c r="AD45" i="1"/>
  <c r="AE45" i="1"/>
  <c r="AD14" i="1"/>
  <c r="AE14" i="1"/>
  <c r="AD16" i="1"/>
  <c r="AE16" i="1"/>
  <c r="AD23" i="1"/>
  <c r="AE23" i="1"/>
  <c r="AD55" i="1"/>
  <c r="AE55" i="1"/>
  <c r="AD54" i="1"/>
  <c r="AE54" i="1"/>
  <c r="AD56" i="1"/>
  <c r="AE56" i="1"/>
  <c r="AD57" i="1"/>
  <c r="AE57" i="1"/>
  <c r="AD59" i="1"/>
  <c r="AE59" i="1"/>
  <c r="AD61" i="1"/>
  <c r="AE61" i="1"/>
  <c r="AD62" i="1"/>
  <c r="AE62" i="1"/>
  <c r="AD64" i="1"/>
  <c r="AE64" i="1"/>
  <c r="AD65" i="1"/>
  <c r="AE65" i="1"/>
  <c r="AD66" i="1"/>
  <c r="AE66" i="1"/>
  <c r="AD67" i="1"/>
  <c r="AE67" i="1"/>
  <c r="AD69" i="1"/>
  <c r="AE69" i="1"/>
  <c r="AD71" i="1"/>
  <c r="AE71" i="1"/>
  <c r="AD72" i="1"/>
  <c r="AE72" i="1"/>
  <c r="AD73" i="1"/>
  <c r="AE73" i="1"/>
  <c r="AD74" i="1"/>
  <c r="AE74" i="1"/>
  <c r="AD75" i="1"/>
  <c r="AE75" i="1"/>
  <c r="AD77" i="1"/>
  <c r="AE77" i="1"/>
  <c r="AD78" i="1"/>
  <c r="AE78" i="1"/>
  <c r="AE53" i="1"/>
  <c r="Q73" i="1"/>
  <c r="Q74" i="1"/>
  <c r="Q75" i="1"/>
  <c r="Q77" i="1"/>
  <c r="Q78" i="1"/>
  <c r="Q79" i="1"/>
  <c r="Q82" i="1"/>
  <c r="Q81" i="1"/>
  <c r="Q84" i="1"/>
  <c r="Q83" i="1"/>
  <c r="Q85" i="1"/>
  <c r="Q88" i="1"/>
  <c r="Q89" i="1"/>
  <c r="Q90" i="1"/>
  <c r="Q93" i="1"/>
  <c r="Q20" i="1"/>
  <c r="Q21" i="1"/>
  <c r="Q32" i="1"/>
  <c r="Q12" i="1"/>
  <c r="Q17" i="1"/>
  <c r="Q19" i="1"/>
  <c r="Q30" i="1"/>
  <c r="Q18" i="1"/>
  <c r="Q22" i="1"/>
  <c r="Q24" i="1"/>
  <c r="Q52" i="1"/>
  <c r="Q46" i="1"/>
  <c r="Q47" i="1"/>
  <c r="Q5" i="1"/>
  <c r="Q6" i="1"/>
  <c r="Q4" i="1"/>
  <c r="Q26" i="1"/>
  <c r="Q40" i="1"/>
  <c r="Q38" i="1"/>
  <c r="Q35" i="1"/>
  <c r="Q39" i="1"/>
  <c r="Q37" i="1"/>
  <c r="Q34" i="1"/>
  <c r="Q3" i="1"/>
  <c r="Q41" i="1"/>
  <c r="Q7" i="1"/>
  <c r="Q11" i="1"/>
  <c r="Q43" i="1"/>
  <c r="Q42" i="1"/>
  <c r="Q51" i="1"/>
  <c r="Q45" i="1"/>
  <c r="Q14" i="1"/>
  <c r="Q16" i="1"/>
  <c r="Q23" i="1"/>
  <c r="Q55" i="1"/>
  <c r="Q54" i="1"/>
  <c r="Q56" i="1"/>
  <c r="Q57" i="1"/>
  <c r="Q59" i="1"/>
  <c r="Q61" i="1"/>
  <c r="Q62" i="1"/>
  <c r="Q64" i="1"/>
  <c r="Q65" i="1"/>
  <c r="Q66" i="1"/>
  <c r="Q67" i="1"/>
  <c r="Q69" i="1"/>
  <c r="Q71" i="1"/>
  <c r="Q72" i="1"/>
  <c r="AD53" i="1"/>
  <c r="Q53" i="1"/>
  <c r="N1" i="1"/>
  <c r="AC63" i="1" s="1"/>
  <c r="AF29" i="1" l="1"/>
  <c r="AG29" i="1" s="1"/>
  <c r="AC15" i="1"/>
  <c r="AC76" i="1"/>
  <c r="AC44" i="1"/>
  <c r="AC13" i="1"/>
  <c r="AC70" i="1"/>
  <c r="AC68" i="1"/>
  <c r="AC86" i="1"/>
  <c r="AC25" i="1"/>
  <c r="AC87" i="1"/>
  <c r="AC58" i="1"/>
  <c r="AC33" i="1"/>
  <c r="AC50" i="1"/>
  <c r="AC36" i="1"/>
  <c r="AC80" i="1"/>
  <c r="AC31" i="1"/>
  <c r="AC8" i="1"/>
  <c r="AC27" i="1"/>
  <c r="AC91" i="1"/>
  <c r="AC92" i="1"/>
  <c r="AC60" i="1"/>
  <c r="AC9" i="1"/>
  <c r="AC48" i="1"/>
  <c r="AC49" i="1"/>
  <c r="AC10" i="1"/>
  <c r="AC82" i="1"/>
  <c r="AC51" i="1"/>
  <c r="AC89" i="1"/>
  <c r="AC39" i="1"/>
  <c r="AC64" i="1"/>
  <c r="AC90" i="1"/>
  <c r="AC37" i="1"/>
  <c r="AC46" i="1"/>
  <c r="AC23" i="1"/>
  <c r="AC67" i="1"/>
  <c r="AC3" i="1"/>
  <c r="AC55" i="1"/>
  <c r="AC69" i="1"/>
  <c r="AC19" i="1"/>
  <c r="AC54" i="1"/>
  <c r="AC81" i="1"/>
  <c r="AC40" i="1"/>
  <c r="AC17" i="1"/>
  <c r="AC42" i="1"/>
  <c r="AC28" i="1"/>
  <c r="AC4" i="1"/>
  <c r="AC43" i="1"/>
  <c r="AC11" i="1"/>
  <c r="AC61" i="1"/>
  <c r="AC79" i="1"/>
  <c r="AC66" i="1"/>
  <c r="AC57" i="1"/>
  <c r="AC88" i="1"/>
  <c r="AC14" i="1"/>
  <c r="AC18" i="1"/>
  <c r="AC78" i="1"/>
  <c r="AC7" i="1"/>
  <c r="AC35" i="1"/>
  <c r="AC5" i="1"/>
  <c r="AC56" i="1"/>
  <c r="AC77" i="1"/>
  <c r="AC65" i="1"/>
  <c r="AC72" i="1"/>
  <c r="AC38" i="1"/>
  <c r="AC47" i="1"/>
  <c r="AC20" i="1"/>
  <c r="AC62" i="1"/>
  <c r="AC16" i="1"/>
  <c r="AC41" i="1"/>
  <c r="AC26" i="1"/>
  <c r="AC22" i="1"/>
  <c r="AC21" i="1"/>
  <c r="AC84" i="1"/>
  <c r="AC73" i="1"/>
  <c r="M1" i="1"/>
  <c r="AC53" i="1"/>
  <c r="AC24" i="1"/>
  <c r="AC32" i="1"/>
  <c r="AC83" i="1"/>
  <c r="AC74" i="1"/>
  <c r="AC52" i="1"/>
  <c r="AC12" i="1"/>
  <c r="AC85" i="1"/>
  <c r="AC75" i="1"/>
  <c r="AC71" i="1"/>
  <c r="AC59" i="1"/>
  <c r="AC45" i="1"/>
  <c r="AC34" i="1"/>
  <c r="AC6" i="1"/>
  <c r="AC30" i="1"/>
  <c r="AC93" i="1"/>
  <c r="AB76" i="1" l="1"/>
  <c r="AB15" i="1"/>
  <c r="AB13" i="1"/>
  <c r="AB44" i="1"/>
  <c r="AB68" i="1"/>
  <c r="AB70" i="1"/>
  <c r="AB25" i="1"/>
  <c r="AB86" i="1"/>
  <c r="AB58" i="1"/>
  <c r="AB87" i="1"/>
  <c r="AB31" i="1"/>
  <c r="AB80" i="1"/>
  <c r="AB36" i="1"/>
  <c r="AB50" i="1"/>
  <c r="AB33" i="1"/>
  <c r="AB27" i="1"/>
  <c r="AB91" i="1"/>
  <c r="AB92" i="1"/>
  <c r="AB10" i="1"/>
  <c r="AB49" i="1"/>
  <c r="AB48" i="1"/>
  <c r="AB60" i="1"/>
  <c r="AB9" i="1"/>
  <c r="AB63" i="1"/>
  <c r="AB8" i="1"/>
  <c r="L1" i="1"/>
  <c r="AB79" i="1"/>
  <c r="AB19" i="1"/>
  <c r="AB5" i="1"/>
  <c r="AB37" i="1"/>
  <c r="AB51" i="1"/>
  <c r="AB90" i="1"/>
  <c r="AB57" i="1"/>
  <c r="AB78" i="1"/>
  <c r="AB77" i="1"/>
  <c r="AB75" i="1"/>
  <c r="AB85" i="1"/>
  <c r="AB12" i="1"/>
  <c r="AB52" i="1"/>
  <c r="AB38" i="1"/>
  <c r="AB11" i="1"/>
  <c r="AB55" i="1"/>
  <c r="AB65" i="1"/>
  <c r="AB74" i="1"/>
  <c r="AB83" i="1"/>
  <c r="AB32" i="1"/>
  <c r="AB24" i="1"/>
  <c r="AB40" i="1"/>
  <c r="AB7" i="1"/>
  <c r="AB23" i="1"/>
  <c r="AB64" i="1"/>
  <c r="AB53" i="1"/>
  <c r="AB72" i="1"/>
  <c r="AB73" i="1"/>
  <c r="AB84" i="1"/>
  <c r="AB21" i="1"/>
  <c r="AB22" i="1"/>
  <c r="AB26" i="1"/>
  <c r="AB41" i="1"/>
  <c r="AB16" i="1"/>
  <c r="AB62" i="1"/>
  <c r="AB20" i="1"/>
  <c r="AB81" i="1"/>
  <c r="AB18" i="1"/>
  <c r="AB4" i="1"/>
  <c r="AB3" i="1"/>
  <c r="AB14" i="1"/>
  <c r="AB61" i="1"/>
  <c r="AB66" i="1"/>
  <c r="AB28" i="1"/>
  <c r="AB30" i="1"/>
  <c r="AB71" i="1"/>
  <c r="AB93" i="1"/>
  <c r="AB54" i="1"/>
  <c r="AB46" i="1"/>
  <c r="AB6" i="1"/>
  <c r="AB59" i="1"/>
  <c r="AB17" i="1"/>
  <c r="AB43" i="1"/>
  <c r="AB67" i="1"/>
  <c r="AB69" i="1"/>
  <c r="AB56" i="1"/>
  <c r="AB34" i="1"/>
  <c r="AB39" i="1"/>
  <c r="AB82" i="1"/>
  <c r="AB47" i="1"/>
  <c r="AB42" i="1"/>
  <c r="AB89" i="1"/>
  <c r="AB45" i="1"/>
  <c r="AB88" i="1"/>
  <c r="AB35" i="1"/>
  <c r="AA76" i="1" l="1"/>
  <c r="AA15" i="1"/>
  <c r="AA13" i="1"/>
  <c r="AA44" i="1"/>
  <c r="AA68" i="1"/>
  <c r="AA70" i="1"/>
  <c r="AA25" i="1"/>
  <c r="AA86" i="1"/>
  <c r="AA58" i="1"/>
  <c r="AA87" i="1"/>
  <c r="AA31" i="1"/>
  <c r="AA80" i="1"/>
  <c r="AA36" i="1"/>
  <c r="AA50" i="1"/>
  <c r="AA33" i="1"/>
  <c r="AA27" i="1"/>
  <c r="AA91" i="1"/>
  <c r="AA92" i="1"/>
  <c r="AA10" i="1"/>
  <c r="AA49" i="1"/>
  <c r="AA48" i="1"/>
  <c r="AA60" i="1"/>
  <c r="AA9" i="1"/>
  <c r="AA63" i="1"/>
  <c r="AA8" i="1"/>
  <c r="K1" i="1"/>
  <c r="AA79" i="1"/>
  <c r="AA90" i="1"/>
  <c r="AA19" i="1"/>
  <c r="AA5" i="1"/>
  <c r="AA37" i="1"/>
  <c r="AA51" i="1"/>
  <c r="AA57" i="1"/>
  <c r="AA69" i="1"/>
  <c r="AA78" i="1"/>
  <c r="AA77" i="1"/>
  <c r="AA6" i="1"/>
  <c r="AA74" i="1"/>
  <c r="AA83" i="1"/>
  <c r="AA32" i="1"/>
  <c r="AA24" i="1"/>
  <c r="AA40" i="1"/>
  <c r="AA7" i="1"/>
  <c r="AA23" i="1"/>
  <c r="AA64" i="1"/>
  <c r="AA53" i="1"/>
  <c r="AA93" i="1"/>
  <c r="AA73" i="1"/>
  <c r="AA84" i="1"/>
  <c r="AA21" i="1"/>
  <c r="AA22" i="1"/>
  <c r="AA26" i="1"/>
  <c r="AA41" i="1"/>
  <c r="AA16" i="1"/>
  <c r="AA62" i="1"/>
  <c r="AA30" i="1"/>
  <c r="AA81" i="1"/>
  <c r="AA20" i="1"/>
  <c r="AA18" i="1"/>
  <c r="AA4" i="1"/>
  <c r="AA3" i="1"/>
  <c r="AA14" i="1"/>
  <c r="AA61" i="1"/>
  <c r="AA72" i="1"/>
  <c r="AA82" i="1"/>
  <c r="AA28" i="1"/>
  <c r="AA89" i="1"/>
  <c r="AA85" i="1"/>
  <c r="AA46" i="1"/>
  <c r="AA38" i="1"/>
  <c r="AA59" i="1"/>
  <c r="AA42" i="1"/>
  <c r="AA17" i="1"/>
  <c r="AA43" i="1"/>
  <c r="AA65" i="1"/>
  <c r="AA67" i="1"/>
  <c r="AA71" i="1"/>
  <c r="AA11" i="1"/>
  <c r="AA52" i="1"/>
  <c r="AA54" i="1"/>
  <c r="AA35" i="1"/>
  <c r="AA66" i="1"/>
  <c r="AA39" i="1"/>
  <c r="AA75" i="1"/>
  <c r="AA45" i="1"/>
  <c r="AA56" i="1"/>
  <c r="AA12" i="1"/>
  <c r="AA55" i="1"/>
  <c r="AA88" i="1"/>
  <c r="AA47" i="1"/>
  <c r="AA34" i="1"/>
  <c r="Z76" i="1" l="1"/>
  <c r="Z15" i="1"/>
  <c r="Z13" i="1"/>
  <c r="Z44" i="1"/>
  <c r="Z68" i="1"/>
  <c r="Z70" i="1"/>
  <c r="Z25" i="1"/>
  <c r="Z86" i="1"/>
  <c r="Z58" i="1"/>
  <c r="Z87" i="1"/>
  <c r="Z31" i="1"/>
  <c r="Z80" i="1"/>
  <c r="Z50" i="1"/>
  <c r="Z36" i="1"/>
  <c r="Z33" i="1"/>
  <c r="Z27" i="1"/>
  <c r="Z91" i="1"/>
  <c r="Z92" i="1"/>
  <c r="Z10" i="1"/>
  <c r="Z49" i="1"/>
  <c r="Z48" i="1"/>
  <c r="Z60" i="1"/>
  <c r="Z9" i="1"/>
  <c r="Z63" i="1"/>
  <c r="Z8" i="1"/>
  <c r="J1" i="1"/>
  <c r="Z78" i="1"/>
  <c r="Z89" i="1"/>
  <c r="Z39" i="1"/>
  <c r="Z56" i="1"/>
  <c r="Z17" i="1"/>
  <c r="Z47" i="1"/>
  <c r="Z42" i="1"/>
  <c r="Z67" i="1"/>
  <c r="Z77" i="1"/>
  <c r="Z75" i="1"/>
  <c r="Z74" i="1"/>
  <c r="Z83" i="1"/>
  <c r="Z32" i="1"/>
  <c r="Z24" i="1"/>
  <c r="Z40" i="1"/>
  <c r="Z7" i="1"/>
  <c r="Z23" i="1"/>
  <c r="Z64" i="1"/>
  <c r="Z53" i="1"/>
  <c r="Z73" i="1"/>
  <c r="Z84" i="1"/>
  <c r="Z21" i="1"/>
  <c r="Z22" i="1"/>
  <c r="Z26" i="1"/>
  <c r="Z41" i="1"/>
  <c r="Z16" i="1"/>
  <c r="Z62" i="1"/>
  <c r="Z45" i="1"/>
  <c r="Z59" i="1"/>
  <c r="Z6" i="1"/>
  <c r="Z81" i="1"/>
  <c r="Z20" i="1"/>
  <c r="Z18" i="1"/>
  <c r="Z4" i="1"/>
  <c r="Z3" i="1"/>
  <c r="Z14" i="1"/>
  <c r="Z61" i="1"/>
  <c r="Z72" i="1"/>
  <c r="Z82" i="1"/>
  <c r="Z30" i="1"/>
  <c r="Z34" i="1"/>
  <c r="Z71" i="1"/>
  <c r="Z93" i="1"/>
  <c r="Z5" i="1"/>
  <c r="Z54" i="1"/>
  <c r="Z79" i="1"/>
  <c r="Z85" i="1"/>
  <c r="Z46" i="1"/>
  <c r="Z38" i="1"/>
  <c r="Z52" i="1"/>
  <c r="Z43" i="1"/>
  <c r="Z65" i="1"/>
  <c r="Z90" i="1"/>
  <c r="Z37" i="1"/>
  <c r="Z11" i="1"/>
  <c r="Z12" i="1"/>
  <c r="Z55" i="1"/>
  <c r="Z19" i="1"/>
  <c r="Z35" i="1"/>
  <c r="Z69" i="1"/>
  <c r="Z66" i="1"/>
  <c r="Z57" i="1"/>
  <c r="Z88" i="1"/>
  <c r="Z51" i="1"/>
  <c r="Z28" i="1"/>
  <c r="Y76" i="1" l="1"/>
  <c r="Y15" i="1"/>
  <c r="Y13" i="1"/>
  <c r="Y44" i="1"/>
  <c r="Y68" i="1"/>
  <c r="Y70" i="1"/>
  <c r="Y25" i="1"/>
  <c r="Y86" i="1"/>
  <c r="Y58" i="1"/>
  <c r="Y87" i="1"/>
  <c r="Y31" i="1"/>
  <c r="Y80" i="1"/>
  <c r="Y36" i="1"/>
  <c r="Y50" i="1"/>
  <c r="Y33" i="1"/>
  <c r="Y27" i="1"/>
  <c r="Y91" i="1"/>
  <c r="Y92" i="1"/>
  <c r="Y48" i="1"/>
  <c r="Y10" i="1"/>
  <c r="Y49" i="1"/>
  <c r="Y60" i="1"/>
  <c r="Y9" i="1"/>
  <c r="Y63" i="1"/>
  <c r="Y8" i="1"/>
  <c r="I1" i="1"/>
  <c r="Y78" i="1"/>
  <c r="Y89" i="1"/>
  <c r="Y17" i="1"/>
  <c r="Y47" i="1"/>
  <c r="Y39" i="1"/>
  <c r="Y42" i="1"/>
  <c r="Y56" i="1"/>
  <c r="Y67" i="1"/>
  <c r="Y77" i="1"/>
  <c r="Y75" i="1"/>
  <c r="Y53" i="1"/>
  <c r="Y73" i="1"/>
  <c r="Y84" i="1"/>
  <c r="Y21" i="1"/>
  <c r="Y22" i="1"/>
  <c r="Y26" i="1"/>
  <c r="Y41" i="1"/>
  <c r="Y16" i="1"/>
  <c r="Y62" i="1"/>
  <c r="Y79" i="1"/>
  <c r="Y5" i="1"/>
  <c r="Y14" i="1"/>
  <c r="Y61" i="1"/>
  <c r="Y19" i="1"/>
  <c r="Y81" i="1"/>
  <c r="Y20" i="1"/>
  <c r="Y18" i="1"/>
  <c r="Y4" i="1"/>
  <c r="Y3" i="1"/>
  <c r="Y72" i="1"/>
  <c r="Y90" i="1"/>
  <c r="Y82" i="1"/>
  <c r="Y93" i="1"/>
  <c r="Y30" i="1"/>
  <c r="Y6" i="1"/>
  <c r="Y34" i="1"/>
  <c r="Y45" i="1"/>
  <c r="Y59" i="1"/>
  <c r="Y71" i="1"/>
  <c r="Y37" i="1"/>
  <c r="Y23" i="1"/>
  <c r="Y54" i="1"/>
  <c r="Y7" i="1"/>
  <c r="Y43" i="1"/>
  <c r="Y65" i="1"/>
  <c r="Y38" i="1"/>
  <c r="Y74" i="1"/>
  <c r="Y85" i="1"/>
  <c r="Y64" i="1"/>
  <c r="Y66" i="1"/>
  <c r="Y24" i="1"/>
  <c r="Y12" i="1"/>
  <c r="Y55" i="1"/>
  <c r="Y11" i="1"/>
  <c r="Y32" i="1"/>
  <c r="Y88" i="1"/>
  <c r="Y69" i="1"/>
  <c r="Y46" i="1"/>
  <c r="Y35" i="1"/>
  <c r="Y40" i="1"/>
  <c r="Y28" i="1"/>
  <c r="Y57" i="1"/>
  <c r="Y51" i="1"/>
  <c r="Y83" i="1"/>
  <c r="Y52" i="1"/>
  <c r="X76" i="1" l="1"/>
  <c r="X15" i="1"/>
  <c r="X13" i="1"/>
  <c r="X44" i="1"/>
  <c r="X68" i="1"/>
  <c r="X70" i="1"/>
  <c r="X25" i="1"/>
  <c r="X86" i="1"/>
  <c r="X58" i="1"/>
  <c r="X87" i="1"/>
  <c r="X31" i="1"/>
  <c r="X80" i="1"/>
  <c r="X36" i="1"/>
  <c r="X50" i="1"/>
  <c r="X33" i="1"/>
  <c r="X27" i="1"/>
  <c r="X91" i="1"/>
  <c r="X92" i="1"/>
  <c r="X10" i="1"/>
  <c r="X49" i="1"/>
  <c r="X48" i="1"/>
  <c r="X60" i="1"/>
  <c r="X9" i="1"/>
  <c r="X63" i="1"/>
  <c r="X8" i="1"/>
  <c r="H1" i="1"/>
  <c r="X77" i="1"/>
  <c r="X88" i="1"/>
  <c r="X28" i="1"/>
  <c r="X46" i="1"/>
  <c r="X43" i="1"/>
  <c r="X54" i="1"/>
  <c r="X35" i="1"/>
  <c r="X75" i="1"/>
  <c r="X74" i="1"/>
  <c r="X73" i="1"/>
  <c r="X84" i="1"/>
  <c r="X21" i="1"/>
  <c r="X22" i="1"/>
  <c r="X26" i="1"/>
  <c r="X41" i="1"/>
  <c r="X16" i="1"/>
  <c r="X62" i="1"/>
  <c r="X57" i="1"/>
  <c r="X69" i="1"/>
  <c r="X81" i="1"/>
  <c r="X20" i="1"/>
  <c r="X18" i="1"/>
  <c r="X4" i="1"/>
  <c r="X3" i="1"/>
  <c r="X14" i="1"/>
  <c r="X61" i="1"/>
  <c r="X72" i="1"/>
  <c r="X37" i="1"/>
  <c r="X51" i="1"/>
  <c r="X82" i="1"/>
  <c r="X93" i="1"/>
  <c r="X30" i="1"/>
  <c r="X6" i="1"/>
  <c r="X34" i="1"/>
  <c r="X45" i="1"/>
  <c r="X59" i="1"/>
  <c r="X71" i="1"/>
  <c r="X79" i="1"/>
  <c r="X90" i="1"/>
  <c r="X5" i="1"/>
  <c r="X19" i="1"/>
  <c r="X78" i="1"/>
  <c r="X89" i="1"/>
  <c r="X32" i="1"/>
  <c r="X39" i="1"/>
  <c r="X38" i="1"/>
  <c r="X64" i="1"/>
  <c r="X23" i="1"/>
  <c r="X17" i="1"/>
  <c r="X67" i="1"/>
  <c r="X40" i="1"/>
  <c r="X53" i="1"/>
  <c r="X24" i="1"/>
  <c r="X7" i="1"/>
  <c r="X12" i="1"/>
  <c r="X55" i="1"/>
  <c r="X85" i="1"/>
  <c r="X56" i="1"/>
  <c r="X83" i="1"/>
  <c r="X52" i="1"/>
  <c r="X66" i="1"/>
  <c r="X11" i="1"/>
  <c r="X42" i="1"/>
  <c r="X65" i="1"/>
  <c r="X47" i="1"/>
  <c r="W76" i="1" l="1"/>
  <c r="W15" i="1"/>
  <c r="W13" i="1"/>
  <c r="W44" i="1"/>
  <c r="W68" i="1"/>
  <c r="W70" i="1"/>
  <c r="W25" i="1"/>
  <c r="W86" i="1"/>
  <c r="W58" i="1"/>
  <c r="W87" i="1"/>
  <c r="W31" i="1"/>
  <c r="W36" i="1"/>
  <c r="W50" i="1"/>
  <c r="W33" i="1"/>
  <c r="W80" i="1"/>
  <c r="W27" i="1"/>
  <c r="W91" i="1"/>
  <c r="W92" i="1"/>
  <c r="W10" i="1"/>
  <c r="W49" i="1"/>
  <c r="W48" i="1"/>
  <c r="W60" i="1"/>
  <c r="W8" i="1"/>
  <c r="W63" i="1"/>
  <c r="W9" i="1"/>
  <c r="G1" i="1"/>
  <c r="W77" i="1"/>
  <c r="W88" i="1"/>
  <c r="W28" i="1"/>
  <c r="W46" i="1"/>
  <c r="W35" i="1"/>
  <c r="W43" i="1"/>
  <c r="W54" i="1"/>
  <c r="W66" i="1"/>
  <c r="W75" i="1"/>
  <c r="W74" i="1"/>
  <c r="W14" i="1"/>
  <c r="W81" i="1"/>
  <c r="W20" i="1"/>
  <c r="W18" i="1"/>
  <c r="W4" i="1"/>
  <c r="W3" i="1"/>
  <c r="W61" i="1"/>
  <c r="W72" i="1"/>
  <c r="W34" i="1"/>
  <c r="W71" i="1"/>
  <c r="W39" i="1"/>
  <c r="W82" i="1"/>
  <c r="W93" i="1"/>
  <c r="W30" i="1"/>
  <c r="W6" i="1"/>
  <c r="W45" i="1"/>
  <c r="W59" i="1"/>
  <c r="W78" i="1"/>
  <c r="W17" i="1"/>
  <c r="W47" i="1"/>
  <c r="W79" i="1"/>
  <c r="W90" i="1"/>
  <c r="W19" i="1"/>
  <c r="W5" i="1"/>
  <c r="W37" i="1"/>
  <c r="W51" i="1"/>
  <c r="W57" i="1"/>
  <c r="W69" i="1"/>
  <c r="W89" i="1"/>
  <c r="W32" i="1"/>
  <c r="W73" i="1"/>
  <c r="W85" i="1"/>
  <c r="W38" i="1"/>
  <c r="W53" i="1"/>
  <c r="W26" i="1"/>
  <c r="W62" i="1"/>
  <c r="W67" i="1"/>
  <c r="W52" i="1"/>
  <c r="W42" i="1"/>
  <c r="W7" i="1"/>
  <c r="W84" i="1"/>
  <c r="W24" i="1"/>
  <c r="W23" i="1"/>
  <c r="W12" i="1"/>
  <c r="W55" i="1"/>
  <c r="W41" i="1"/>
  <c r="W56" i="1"/>
  <c r="W16" i="1"/>
  <c r="W83" i="1"/>
  <c r="W65" i="1"/>
  <c r="W22" i="1"/>
  <c r="W21" i="1"/>
  <c r="W40" i="1"/>
  <c r="W11" i="1"/>
  <c r="W64" i="1"/>
  <c r="V76" i="1" l="1"/>
  <c r="V15" i="1"/>
  <c r="V13" i="1"/>
  <c r="V44" i="1"/>
  <c r="V68" i="1"/>
  <c r="V70" i="1"/>
  <c r="V25" i="1"/>
  <c r="V86" i="1"/>
  <c r="V58" i="1"/>
  <c r="V87" i="1"/>
  <c r="V31" i="1"/>
  <c r="V36" i="1"/>
  <c r="V50" i="1"/>
  <c r="V33" i="1"/>
  <c r="V80" i="1"/>
  <c r="V27" i="1"/>
  <c r="V91" i="1"/>
  <c r="V92" i="1"/>
  <c r="V10" i="1"/>
  <c r="V49" i="1"/>
  <c r="V48" i="1"/>
  <c r="V60" i="1"/>
  <c r="V9" i="1"/>
  <c r="V63" i="1"/>
  <c r="V8" i="1"/>
  <c r="F1" i="1"/>
  <c r="V75" i="1"/>
  <c r="V85" i="1"/>
  <c r="V12" i="1"/>
  <c r="V52" i="1"/>
  <c r="V38" i="1"/>
  <c r="V11" i="1"/>
  <c r="V55" i="1"/>
  <c r="V65" i="1"/>
  <c r="V74" i="1"/>
  <c r="V73" i="1"/>
  <c r="V81" i="1"/>
  <c r="V20" i="1"/>
  <c r="V18" i="1"/>
  <c r="V4" i="1"/>
  <c r="V3" i="1"/>
  <c r="V14" i="1"/>
  <c r="V61" i="1"/>
  <c r="V72" i="1"/>
  <c r="V82" i="1"/>
  <c r="V93" i="1"/>
  <c r="V30" i="1"/>
  <c r="V6" i="1"/>
  <c r="V34" i="1"/>
  <c r="V45" i="1"/>
  <c r="V59" i="1"/>
  <c r="V71" i="1"/>
  <c r="V47" i="1"/>
  <c r="V56" i="1"/>
  <c r="V79" i="1"/>
  <c r="V90" i="1"/>
  <c r="V19" i="1"/>
  <c r="V5" i="1"/>
  <c r="V37" i="1"/>
  <c r="V51" i="1"/>
  <c r="V57" i="1"/>
  <c r="V69" i="1"/>
  <c r="V17" i="1"/>
  <c r="V39" i="1"/>
  <c r="V42" i="1"/>
  <c r="V78" i="1"/>
  <c r="V89" i="1"/>
  <c r="V67" i="1"/>
  <c r="V53" i="1"/>
  <c r="V7" i="1"/>
  <c r="V46" i="1"/>
  <c r="V26" i="1"/>
  <c r="V84" i="1"/>
  <c r="V24" i="1"/>
  <c r="V41" i="1"/>
  <c r="V54" i="1"/>
  <c r="V16" i="1"/>
  <c r="V88" i="1"/>
  <c r="V22" i="1"/>
  <c r="V62" i="1"/>
  <c r="V21" i="1"/>
  <c r="V40" i="1"/>
  <c r="V35" i="1"/>
  <c r="V64" i="1"/>
  <c r="V77" i="1"/>
  <c r="V43" i="1"/>
  <c r="V83" i="1"/>
  <c r="V66" i="1"/>
  <c r="V32" i="1"/>
  <c r="V28" i="1"/>
  <c r="V23" i="1"/>
  <c r="U76" i="1" l="1"/>
  <c r="U15" i="1"/>
  <c r="U13" i="1"/>
  <c r="U44" i="1"/>
  <c r="U68" i="1"/>
  <c r="U70" i="1"/>
  <c r="U25" i="1"/>
  <c r="U86" i="1"/>
  <c r="U58" i="1"/>
  <c r="U87" i="1"/>
  <c r="U31" i="1"/>
  <c r="U50" i="1"/>
  <c r="U36" i="1"/>
  <c r="U33" i="1"/>
  <c r="U80" i="1"/>
  <c r="U27" i="1"/>
  <c r="U91" i="1"/>
  <c r="U92" i="1"/>
  <c r="U10" i="1"/>
  <c r="U49" i="1"/>
  <c r="U48" i="1"/>
  <c r="U60" i="1"/>
  <c r="U9" i="1"/>
  <c r="U63" i="1"/>
  <c r="U8" i="1"/>
  <c r="E1" i="1"/>
  <c r="U75" i="1"/>
  <c r="U85" i="1"/>
  <c r="U12" i="1"/>
  <c r="U52" i="1"/>
  <c r="U38" i="1"/>
  <c r="U11" i="1"/>
  <c r="U55" i="1"/>
  <c r="U65" i="1"/>
  <c r="U74" i="1"/>
  <c r="U73" i="1"/>
  <c r="U88" i="1"/>
  <c r="U82" i="1"/>
  <c r="U93" i="1"/>
  <c r="U30" i="1"/>
  <c r="U6" i="1"/>
  <c r="U34" i="1"/>
  <c r="U45" i="1"/>
  <c r="U59" i="1"/>
  <c r="U71" i="1"/>
  <c r="U57" i="1"/>
  <c r="U79" i="1"/>
  <c r="U90" i="1"/>
  <c r="U19" i="1"/>
  <c r="U5" i="1"/>
  <c r="U37" i="1"/>
  <c r="U51" i="1"/>
  <c r="U69" i="1"/>
  <c r="U35" i="1"/>
  <c r="U78" i="1"/>
  <c r="U89" i="1"/>
  <c r="U17" i="1"/>
  <c r="U47" i="1"/>
  <c r="U39" i="1"/>
  <c r="U42" i="1"/>
  <c r="U56" i="1"/>
  <c r="U67" i="1"/>
  <c r="U77" i="1"/>
  <c r="U28" i="1"/>
  <c r="U46" i="1"/>
  <c r="U7" i="1"/>
  <c r="U14" i="1"/>
  <c r="U43" i="1"/>
  <c r="U3" i="1"/>
  <c r="U24" i="1"/>
  <c r="U4" i="1"/>
  <c r="U16" i="1"/>
  <c r="U66" i="1"/>
  <c r="U54" i="1"/>
  <c r="U20" i="1"/>
  <c r="U18" i="1"/>
  <c r="U26" i="1"/>
  <c r="U21" i="1"/>
  <c r="U40" i="1"/>
  <c r="U64" i="1"/>
  <c r="U23" i="1"/>
  <c r="U61" i="1"/>
  <c r="U32" i="1"/>
  <c r="U83" i="1"/>
  <c r="U41" i="1"/>
  <c r="U53" i="1"/>
  <c r="U84" i="1"/>
  <c r="U72" i="1"/>
  <c r="U81" i="1"/>
  <c r="U22" i="1"/>
  <c r="U62" i="1"/>
  <c r="T76" i="1" l="1"/>
  <c r="T15" i="1"/>
  <c r="T13" i="1"/>
  <c r="T44" i="1"/>
  <c r="T68" i="1"/>
  <c r="T70" i="1"/>
  <c r="T25" i="1"/>
  <c r="T86" i="1"/>
  <c r="T58" i="1"/>
  <c r="T87" i="1"/>
  <c r="T31" i="1"/>
  <c r="T33" i="1"/>
  <c r="T36" i="1"/>
  <c r="T50" i="1"/>
  <c r="T80" i="1"/>
  <c r="T27" i="1"/>
  <c r="T91" i="1"/>
  <c r="T92" i="1"/>
  <c r="T10" i="1"/>
  <c r="T49" i="1"/>
  <c r="T48" i="1"/>
  <c r="T60" i="1"/>
  <c r="T9" i="1"/>
  <c r="T63" i="1"/>
  <c r="T8" i="1"/>
  <c r="D1" i="1"/>
  <c r="T83" i="1"/>
  <c r="T32" i="1"/>
  <c r="T40" i="1"/>
  <c r="T23" i="1"/>
  <c r="T64" i="1"/>
  <c r="T74" i="1"/>
  <c r="T24" i="1"/>
  <c r="T7" i="1"/>
  <c r="T73" i="1"/>
  <c r="T81" i="1"/>
  <c r="T82" i="1"/>
  <c r="T93" i="1"/>
  <c r="T30" i="1"/>
  <c r="T6" i="1"/>
  <c r="T34" i="1"/>
  <c r="T45" i="1"/>
  <c r="T59" i="1"/>
  <c r="T71" i="1"/>
  <c r="T79" i="1"/>
  <c r="T90" i="1"/>
  <c r="T19" i="1"/>
  <c r="T5" i="1"/>
  <c r="T37" i="1"/>
  <c r="T51" i="1"/>
  <c r="T57" i="1"/>
  <c r="T69" i="1"/>
  <c r="T66" i="1"/>
  <c r="T78" i="1"/>
  <c r="T89" i="1"/>
  <c r="T17" i="1"/>
  <c r="T47" i="1"/>
  <c r="T39" i="1"/>
  <c r="T42" i="1"/>
  <c r="T56" i="1"/>
  <c r="T67" i="1"/>
  <c r="T77" i="1"/>
  <c r="T88" i="1"/>
  <c r="T28" i="1"/>
  <c r="T46" i="1"/>
  <c r="T35" i="1"/>
  <c r="T43" i="1"/>
  <c r="T54" i="1"/>
  <c r="T85" i="1"/>
  <c r="T38" i="1"/>
  <c r="T20" i="1"/>
  <c r="T26" i="1"/>
  <c r="T62" i="1"/>
  <c r="T65" i="1"/>
  <c r="T22" i="1"/>
  <c r="T84" i="1"/>
  <c r="T12" i="1"/>
  <c r="T16" i="1"/>
  <c r="T55" i="1"/>
  <c r="T53" i="1"/>
  <c r="T3" i="1"/>
  <c r="T18" i="1"/>
  <c r="T21" i="1"/>
  <c r="T14" i="1"/>
  <c r="T75" i="1"/>
  <c r="T61" i="1"/>
  <c r="T41" i="1"/>
  <c r="T11" i="1"/>
  <c r="T72" i="1"/>
  <c r="T4" i="1"/>
  <c r="T52" i="1"/>
  <c r="S76" i="1" l="1"/>
  <c r="S15" i="1"/>
  <c r="S13" i="1"/>
  <c r="S44" i="1"/>
  <c r="S68" i="1"/>
  <c r="S70" i="1"/>
  <c r="S25" i="1"/>
  <c r="S86" i="1"/>
  <c r="S58" i="1"/>
  <c r="S87" i="1"/>
  <c r="S31" i="1"/>
  <c r="S36" i="1"/>
  <c r="S50" i="1"/>
  <c r="S33" i="1"/>
  <c r="S80" i="1"/>
  <c r="S27" i="1"/>
  <c r="S91" i="1"/>
  <c r="S92" i="1"/>
  <c r="S10" i="1"/>
  <c r="S49" i="1"/>
  <c r="S48" i="1"/>
  <c r="S60" i="1"/>
  <c r="S9" i="1"/>
  <c r="S63" i="1"/>
  <c r="S8" i="1"/>
  <c r="C1" i="1"/>
  <c r="S74" i="1"/>
  <c r="S83" i="1"/>
  <c r="S32" i="1"/>
  <c r="S24" i="1"/>
  <c r="S40" i="1"/>
  <c r="S7" i="1"/>
  <c r="S23" i="1"/>
  <c r="S64" i="1"/>
  <c r="S73" i="1"/>
  <c r="S79" i="1"/>
  <c r="S90" i="1"/>
  <c r="S19" i="1"/>
  <c r="S5" i="1"/>
  <c r="S37" i="1"/>
  <c r="S51" i="1"/>
  <c r="S57" i="1"/>
  <c r="S69" i="1"/>
  <c r="S47" i="1"/>
  <c r="S67" i="1"/>
  <c r="S75" i="1"/>
  <c r="S12" i="1"/>
  <c r="S52" i="1"/>
  <c r="S78" i="1"/>
  <c r="S89" i="1"/>
  <c r="S17" i="1"/>
  <c r="S39" i="1"/>
  <c r="S42" i="1"/>
  <c r="S56" i="1"/>
  <c r="S85" i="1"/>
  <c r="S77" i="1"/>
  <c r="S88" i="1"/>
  <c r="S28" i="1"/>
  <c r="S46" i="1"/>
  <c r="S35" i="1"/>
  <c r="S43" i="1"/>
  <c r="S54" i="1"/>
  <c r="S66" i="1"/>
  <c r="S38" i="1"/>
  <c r="S20" i="1"/>
  <c r="S30" i="1"/>
  <c r="S26" i="1"/>
  <c r="S62" i="1"/>
  <c r="S65" i="1"/>
  <c r="S84" i="1"/>
  <c r="S16" i="1"/>
  <c r="S55" i="1"/>
  <c r="S59" i="1"/>
  <c r="S81" i="1"/>
  <c r="S34" i="1"/>
  <c r="S18" i="1"/>
  <c r="S6" i="1"/>
  <c r="S93" i="1"/>
  <c r="S3" i="1"/>
  <c r="S21" i="1"/>
  <c r="S72" i="1"/>
  <c r="S61" i="1"/>
  <c r="S82" i="1"/>
  <c r="S41" i="1"/>
  <c r="S11" i="1"/>
  <c r="S45" i="1"/>
  <c r="S14" i="1"/>
  <c r="S22" i="1"/>
  <c r="S71" i="1"/>
  <c r="S4" i="1"/>
  <c r="S53" i="1"/>
  <c r="R76" i="1" l="1"/>
  <c r="AF76" i="1" s="1"/>
  <c r="AG76" i="1" s="1"/>
  <c r="R15" i="1"/>
  <c r="AF15" i="1" s="1"/>
  <c r="AG15" i="1" s="1"/>
  <c r="R13" i="1"/>
  <c r="AF13" i="1" s="1"/>
  <c r="AG13" i="1" s="1"/>
  <c r="R44" i="1"/>
  <c r="AF44" i="1" s="1"/>
  <c r="AG44" i="1" s="1"/>
  <c r="R68" i="1"/>
  <c r="AF68" i="1" s="1"/>
  <c r="AG68" i="1" s="1"/>
  <c r="R70" i="1"/>
  <c r="AF70" i="1" s="1"/>
  <c r="AG70" i="1" s="1"/>
  <c r="R25" i="1"/>
  <c r="AF25" i="1" s="1"/>
  <c r="AG25" i="1" s="1"/>
  <c r="R86" i="1"/>
  <c r="AF86" i="1" s="1"/>
  <c r="AG86" i="1" s="1"/>
  <c r="R58" i="1"/>
  <c r="AF58" i="1" s="1"/>
  <c r="AG58" i="1" s="1"/>
  <c r="R87" i="1"/>
  <c r="AF87" i="1" s="1"/>
  <c r="AG87" i="1" s="1"/>
  <c r="R31" i="1"/>
  <c r="AF31" i="1" s="1"/>
  <c r="AG31" i="1" s="1"/>
  <c r="R36" i="1"/>
  <c r="AF36" i="1" s="1"/>
  <c r="AG36" i="1" s="1"/>
  <c r="R50" i="1"/>
  <c r="AF50" i="1" s="1"/>
  <c r="AG50" i="1" s="1"/>
  <c r="R33" i="1"/>
  <c r="AF33" i="1" s="1"/>
  <c r="AG33" i="1" s="1"/>
  <c r="R49" i="1"/>
  <c r="AF49" i="1" s="1"/>
  <c r="AG49" i="1" s="1"/>
  <c r="R80" i="1"/>
  <c r="AF80" i="1" s="1"/>
  <c r="AG80" i="1" s="1"/>
  <c r="R27" i="1"/>
  <c r="AF27" i="1" s="1"/>
  <c r="AG27" i="1" s="1"/>
  <c r="R91" i="1"/>
  <c r="AF91" i="1" s="1"/>
  <c r="AG91" i="1" s="1"/>
  <c r="R92" i="1"/>
  <c r="AF92" i="1" s="1"/>
  <c r="AG92" i="1" s="1"/>
  <c r="R10" i="1"/>
  <c r="AF10" i="1" s="1"/>
  <c r="AG10" i="1" s="1"/>
  <c r="R48" i="1"/>
  <c r="AF48" i="1" s="1"/>
  <c r="AG48" i="1" s="1"/>
  <c r="R60" i="1"/>
  <c r="AF60" i="1" s="1"/>
  <c r="AG60" i="1" s="1"/>
  <c r="R9" i="1"/>
  <c r="AF9" i="1" s="1"/>
  <c r="AG9" i="1" s="1"/>
  <c r="R63" i="1"/>
  <c r="AF63" i="1" s="1"/>
  <c r="AG63" i="1" s="1"/>
  <c r="R8" i="1"/>
  <c r="AF8" i="1" s="1"/>
  <c r="AG8" i="1" s="1"/>
  <c r="R53" i="1"/>
  <c r="AF53" i="1" s="1"/>
  <c r="AG53" i="1" s="1"/>
  <c r="R73" i="1"/>
  <c r="AF73" i="1" s="1"/>
  <c r="AG73" i="1" s="1"/>
  <c r="R84" i="1"/>
  <c r="AF84" i="1" s="1"/>
  <c r="AG84" i="1" s="1"/>
  <c r="R21" i="1"/>
  <c r="AF21" i="1" s="1"/>
  <c r="AG21" i="1" s="1"/>
  <c r="R22" i="1"/>
  <c r="AF22" i="1" s="1"/>
  <c r="AG22" i="1" s="1"/>
  <c r="R26" i="1"/>
  <c r="AF26" i="1" s="1"/>
  <c r="AG26" i="1" s="1"/>
  <c r="R41" i="1"/>
  <c r="AF41" i="1" s="1"/>
  <c r="AG41" i="1" s="1"/>
  <c r="R16" i="1"/>
  <c r="AF16" i="1" s="1"/>
  <c r="AG16" i="1" s="1"/>
  <c r="R62" i="1"/>
  <c r="AF62" i="1" s="1"/>
  <c r="AG62" i="1" s="1"/>
  <c r="R81" i="1"/>
  <c r="AF81" i="1" s="1"/>
  <c r="AG81" i="1" s="1"/>
  <c r="R82" i="1"/>
  <c r="AF82" i="1" s="1"/>
  <c r="AG82" i="1" s="1"/>
  <c r="R79" i="1"/>
  <c r="AF79" i="1" s="1"/>
  <c r="AG79" i="1" s="1"/>
  <c r="R90" i="1"/>
  <c r="AF90" i="1" s="1"/>
  <c r="AG90" i="1" s="1"/>
  <c r="R19" i="1"/>
  <c r="AF19" i="1" s="1"/>
  <c r="AG19" i="1" s="1"/>
  <c r="R5" i="1"/>
  <c r="AF5" i="1" s="1"/>
  <c r="AG5" i="1" s="1"/>
  <c r="R37" i="1"/>
  <c r="AF37" i="1" s="1"/>
  <c r="AG37" i="1" s="1"/>
  <c r="R51" i="1"/>
  <c r="AF51" i="1" s="1"/>
  <c r="AG51" i="1" s="1"/>
  <c r="R57" i="1"/>
  <c r="AF57" i="1" s="1"/>
  <c r="AG57" i="1" s="1"/>
  <c r="R69" i="1"/>
  <c r="AF69" i="1" s="1"/>
  <c r="AG69" i="1" s="1"/>
  <c r="R78" i="1"/>
  <c r="AF78" i="1" s="1"/>
  <c r="AG78" i="1" s="1"/>
  <c r="R89" i="1"/>
  <c r="AF89" i="1" s="1"/>
  <c r="AG89" i="1" s="1"/>
  <c r="R17" i="1"/>
  <c r="AF17" i="1" s="1"/>
  <c r="AG17" i="1" s="1"/>
  <c r="R47" i="1"/>
  <c r="AF47" i="1" s="1"/>
  <c r="AG47" i="1" s="1"/>
  <c r="R39" i="1"/>
  <c r="AF39" i="1" s="1"/>
  <c r="AG39" i="1" s="1"/>
  <c r="R42" i="1"/>
  <c r="AF42" i="1" s="1"/>
  <c r="AG42" i="1" s="1"/>
  <c r="R56" i="1"/>
  <c r="AF56" i="1" s="1"/>
  <c r="AG56" i="1" s="1"/>
  <c r="R67" i="1"/>
  <c r="AF67" i="1" s="1"/>
  <c r="AG67" i="1" s="1"/>
  <c r="R11" i="1"/>
  <c r="AF11" i="1" s="1"/>
  <c r="AG11" i="1" s="1"/>
  <c r="R55" i="1"/>
  <c r="AF55" i="1" s="1"/>
  <c r="AG55" i="1" s="1"/>
  <c r="R65" i="1"/>
  <c r="AF65" i="1" s="1"/>
  <c r="AG65" i="1" s="1"/>
  <c r="R77" i="1"/>
  <c r="AF77" i="1" s="1"/>
  <c r="AG77" i="1" s="1"/>
  <c r="R88" i="1"/>
  <c r="AF88" i="1" s="1"/>
  <c r="AG88" i="1" s="1"/>
  <c r="R28" i="1"/>
  <c r="AF28" i="1" s="1"/>
  <c r="AG28" i="1" s="1"/>
  <c r="R46" i="1"/>
  <c r="AF46" i="1" s="1"/>
  <c r="AG46" i="1" s="1"/>
  <c r="R35" i="1"/>
  <c r="AF35" i="1" s="1"/>
  <c r="AG35" i="1" s="1"/>
  <c r="R43" i="1"/>
  <c r="AF43" i="1" s="1"/>
  <c r="AG43" i="1" s="1"/>
  <c r="R54" i="1"/>
  <c r="AF54" i="1" s="1"/>
  <c r="AG54" i="1" s="1"/>
  <c r="R66" i="1"/>
  <c r="AF66" i="1" s="1"/>
  <c r="AG66" i="1" s="1"/>
  <c r="R75" i="1"/>
  <c r="AF75" i="1" s="1"/>
  <c r="AG75" i="1" s="1"/>
  <c r="R12" i="1"/>
  <c r="AF12" i="1" s="1"/>
  <c r="AG12" i="1" s="1"/>
  <c r="R52" i="1"/>
  <c r="AF52" i="1" s="1"/>
  <c r="AG52" i="1" s="1"/>
  <c r="R38" i="1"/>
  <c r="AF38" i="1" s="1"/>
  <c r="AG38" i="1" s="1"/>
  <c r="R85" i="1"/>
  <c r="AF85" i="1" s="1"/>
  <c r="AG85" i="1" s="1"/>
  <c r="R3" i="1"/>
  <c r="AF3" i="1" s="1"/>
  <c r="AG3" i="1" s="1"/>
  <c r="R71" i="1"/>
  <c r="AF71" i="1" s="1"/>
  <c r="AG71" i="1" s="1"/>
  <c r="R74" i="1"/>
  <c r="AF74" i="1" s="1"/>
  <c r="AG74" i="1" s="1"/>
  <c r="R18" i="1"/>
  <c r="AF18" i="1" s="1"/>
  <c r="AG18" i="1" s="1"/>
  <c r="R6" i="1"/>
  <c r="AF6" i="1" s="1"/>
  <c r="AG6" i="1" s="1"/>
  <c r="R30" i="1"/>
  <c r="AF30" i="1" s="1"/>
  <c r="AG30" i="1" s="1"/>
  <c r="R59" i="1"/>
  <c r="AF59" i="1" s="1"/>
  <c r="AG59" i="1" s="1"/>
  <c r="R23" i="1"/>
  <c r="AF23" i="1" s="1"/>
  <c r="AG23" i="1" s="1"/>
  <c r="R20" i="1"/>
  <c r="AF20" i="1" s="1"/>
  <c r="AG20" i="1" s="1"/>
  <c r="R24" i="1"/>
  <c r="AF24" i="1" s="1"/>
  <c r="AG24" i="1" s="1"/>
  <c r="R14" i="1"/>
  <c r="AF14" i="1" s="1"/>
  <c r="AG14" i="1" s="1"/>
  <c r="R40" i="1"/>
  <c r="AF40" i="1" s="1"/>
  <c r="AG40" i="1" s="1"/>
  <c r="R45" i="1"/>
  <c r="AF45" i="1" s="1"/>
  <c r="AG45" i="1" s="1"/>
  <c r="R64" i="1"/>
  <c r="AF64" i="1" s="1"/>
  <c r="AG64" i="1" s="1"/>
  <c r="R72" i="1"/>
  <c r="AF72" i="1" s="1"/>
  <c r="AG72" i="1" s="1"/>
  <c r="R83" i="1"/>
  <c r="AF83" i="1" s="1"/>
  <c r="AG83" i="1" s="1"/>
  <c r="R34" i="1"/>
  <c r="AF34" i="1" s="1"/>
  <c r="AG34" i="1" s="1"/>
  <c r="R4" i="1"/>
  <c r="AF4" i="1" s="1"/>
  <c r="AG4" i="1" s="1"/>
  <c r="R61" i="1"/>
  <c r="AF61" i="1" s="1"/>
  <c r="AG61" i="1" s="1"/>
  <c r="R93" i="1"/>
  <c r="AF93" i="1" s="1"/>
  <c r="AG93" i="1" s="1"/>
  <c r="R32" i="1"/>
  <c r="AF32" i="1" s="1"/>
  <c r="AG32" i="1" s="1"/>
  <c r="R7" i="1"/>
  <c r="AF7" i="1" s="1"/>
  <c r="AG7" i="1" s="1"/>
</calcChain>
</file>

<file path=xl/sharedStrings.xml><?xml version="1.0" encoding="utf-8"?>
<sst xmlns="http://schemas.openxmlformats.org/spreadsheetml/2006/main" count="106" uniqueCount="106">
  <si>
    <t xml:space="preserve">Mid-gun-flak(5inchGFCS)        </t>
  </si>
  <si>
    <t>Superbig-gun</t>
  </si>
  <si>
    <t>Second-gun-flat</t>
  </si>
  <si>
    <t>Second-gun-flak</t>
  </si>
  <si>
    <t>Torp</t>
  </si>
  <si>
    <t>Torp-sub</t>
  </si>
  <si>
    <t>Midget-Sub</t>
  </si>
  <si>
    <t>Fighter</t>
  </si>
  <si>
    <t>Fighter-night</t>
  </si>
  <si>
    <t>Fighter-lb</t>
  </si>
  <si>
    <t>Fighter-lb-interc</t>
  </si>
  <si>
    <t>Bomb-torp</t>
  </si>
  <si>
    <t>Bomb-torp-night</t>
  </si>
  <si>
    <t>Bomb-torp-fight(RE2001G)</t>
  </si>
  <si>
    <t>Bomb-torp-dive(Ryuusei)</t>
  </si>
  <si>
    <t>Attack-lb</t>
  </si>
  <si>
    <t>Attack-lb-fight</t>
  </si>
  <si>
    <t>Patrol-lb</t>
  </si>
  <si>
    <t>Bomb-dive</t>
  </si>
  <si>
    <t>Bomb-dive-fight</t>
  </si>
  <si>
    <t>Bomb-dive-fight-jet</t>
  </si>
  <si>
    <t>Recon</t>
  </si>
  <si>
    <t>Recon-lb</t>
  </si>
  <si>
    <t>Sp-bomb</t>
  </si>
  <si>
    <t>Sp-recon</t>
  </si>
  <si>
    <t>Sp-fight</t>
  </si>
  <si>
    <t>Flyingboat</t>
  </si>
  <si>
    <t>Patrol-autogyro</t>
  </si>
  <si>
    <t>Patrol-liaison</t>
  </si>
  <si>
    <t>Depthc-projector</t>
  </si>
  <si>
    <t>Depthc-racks</t>
  </si>
  <si>
    <t>Sonar-passive</t>
  </si>
  <si>
    <t>Sonar-active</t>
  </si>
  <si>
    <t>Ap-shell</t>
  </si>
  <si>
    <t>Al-shell</t>
  </si>
  <si>
    <t>Al-rocket</t>
  </si>
  <si>
    <t>Landing-craft</t>
  </si>
  <si>
    <t>Landing-tank</t>
  </si>
  <si>
    <t>Drum</t>
  </si>
  <si>
    <t>Tp-material</t>
  </si>
  <si>
    <t>Radar-small-flak</t>
  </si>
  <si>
    <t>Radar-small-flat</t>
  </si>
  <si>
    <t>Radar-small-dual</t>
  </si>
  <si>
    <t>Radar-big-flak</t>
  </si>
  <si>
    <t>Radar-big-flat</t>
  </si>
  <si>
    <t>Radar-big-dual</t>
  </si>
  <si>
    <t>Radar-superbig-dual</t>
  </si>
  <si>
    <t>Radar-sub</t>
  </si>
  <si>
    <t>Engine-turbine</t>
  </si>
  <si>
    <t>Engine-boiler</t>
  </si>
  <si>
    <t>Bulge-medium</t>
  </si>
  <si>
    <t>Bulge-large</t>
  </si>
  <si>
    <t>Searchlight</t>
  </si>
  <si>
    <t>Starshell</t>
  </si>
  <si>
    <t>Repair-item</t>
  </si>
  <si>
    <t>Underway-replenish</t>
  </si>
  <si>
    <t>Command-fac</t>
  </si>
  <si>
    <t>Aircraft-personnel</t>
  </si>
  <si>
    <t>Repair-fac</t>
  </si>
  <si>
    <t>Small-gun-flat</t>
    <phoneticPr fontId="1" type="noConversion"/>
  </si>
  <si>
    <t>Small-gun-flak</t>
    <phoneticPr fontId="1" type="noConversion"/>
  </si>
  <si>
    <t>Mid-gun-flat</t>
    <phoneticPr fontId="1" type="noConversion"/>
  </si>
  <si>
    <t>Big-gun</t>
    <phoneticPr fontId="1" type="noConversion"/>
  </si>
  <si>
    <t>ismaingun</t>
    <phoneticPr fontId="1" type="noConversion"/>
  </si>
  <si>
    <t>issecgun</t>
    <phoneticPr fontId="1" type="noConversion"/>
  </si>
  <si>
    <t>istorp</t>
    <phoneticPr fontId="1" type="noConversion"/>
  </si>
  <si>
    <t>isfighter</t>
    <phoneticPr fontId="1" type="noConversion"/>
  </si>
  <si>
    <t>istorpbombber</t>
    <phoneticPr fontId="1" type="noConversion"/>
  </si>
  <si>
    <t>isdivebomber</t>
    <phoneticPr fontId="1" type="noConversion"/>
  </si>
  <si>
    <t>isrecon</t>
    <phoneticPr fontId="1" type="noConversion"/>
  </si>
  <si>
    <t>ispatrol</t>
    <phoneticPr fontId="1" type="noConversion"/>
  </si>
  <si>
    <t>isflak</t>
    <phoneticPr fontId="1" type="noConversion"/>
  </si>
  <si>
    <t>size</t>
    <phoneticPr fontId="1" type="noConversion"/>
  </si>
  <si>
    <t>issurface</t>
    <phoneticPr fontId="1" type="noConversion"/>
  </si>
  <si>
    <t>special</t>
    <phoneticPr fontId="1" type="noConversion"/>
  </si>
  <si>
    <t>Supremebig-gun</t>
    <phoneticPr fontId="1" type="noConversion"/>
  </si>
  <si>
    <t>Second-gun-flak-big</t>
    <phoneticPr fontId="1" type="noConversion"/>
  </si>
  <si>
    <t>isnight</t>
    <phoneticPr fontId="1" type="noConversion"/>
  </si>
  <si>
    <t>Bomb-torp-n2</t>
    <phoneticPr fontId="1" type="noConversion"/>
  </si>
  <si>
    <t>isseaplane</t>
    <phoneticPr fontId="1" type="noConversion"/>
  </si>
  <si>
    <t>Sp-recon-night</t>
    <phoneticPr fontId="1" type="noConversion"/>
  </si>
  <si>
    <t>Patrol-liaison-f</t>
    <phoneticPr fontId="1" type="noConversion"/>
  </si>
  <si>
    <t>Smoke</t>
    <phoneticPr fontId="1" type="noConversion"/>
  </si>
  <si>
    <t>Ballon</t>
    <phoneticPr fontId="1" type="noConversion"/>
  </si>
  <si>
    <t>Searchlight-big</t>
    <phoneticPr fontId="1" type="noConversion"/>
  </si>
  <si>
    <t>Sp-bomb-night</t>
    <phoneticPr fontId="1" type="noConversion"/>
  </si>
  <si>
    <t>Bomb-dive-fight-n2</t>
    <phoneticPr fontId="1" type="noConversion"/>
  </si>
  <si>
    <t>Surface-personnel</t>
    <phoneticPr fontId="1" type="noConversion"/>
  </si>
  <si>
    <t>Sonar-passive-big</t>
    <phoneticPr fontId="1" type="noConversion"/>
  </si>
  <si>
    <t>Attack-lb-big</t>
    <phoneticPr fontId="1" type="noConversion"/>
  </si>
  <si>
    <t>AA-gun</t>
    <phoneticPr fontId="1" type="noConversion"/>
  </si>
  <si>
    <t>AA-control-device</t>
    <phoneticPr fontId="1" type="noConversion"/>
  </si>
  <si>
    <t>Land-corps</t>
    <phoneticPr fontId="1" type="noConversion"/>
  </si>
  <si>
    <t>Mid-gun-flat-ca</t>
    <phoneticPr fontId="1" type="noConversion"/>
  </si>
  <si>
    <t>Recon-fight</t>
    <phoneticPr fontId="1" type="noConversion"/>
  </si>
  <si>
    <t>islb</t>
    <phoneticPr fontId="1" type="noConversion"/>
  </si>
  <si>
    <t>Recon-jet</t>
    <phoneticPr fontId="1" type="noConversion"/>
  </si>
  <si>
    <t>Food</t>
    <phoneticPr fontId="1" type="noConversion"/>
  </si>
  <si>
    <t>AA-cannon</t>
    <phoneticPr fontId="1" type="noConversion"/>
  </si>
  <si>
    <t>Bomb-dive-n2</t>
    <phoneticPr fontId="1" type="noConversion"/>
  </si>
  <si>
    <t>Bomb-dive-torp-fight</t>
    <phoneticPr fontId="1" type="noConversion"/>
  </si>
  <si>
    <t>Sp-recon-small</t>
    <phoneticPr fontId="1" type="noConversion"/>
  </si>
  <si>
    <t>Sp-bomb-small</t>
    <phoneticPr fontId="1" type="noConversion"/>
  </si>
  <si>
    <t>Bulge-small</t>
    <phoneticPr fontId="1" type="noConversion"/>
  </si>
  <si>
    <t>Bomb-dive-night</t>
    <phoneticPr fontId="1" type="noConversion"/>
  </si>
  <si>
    <t>Bomb-dive-fight-night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</si>
</sst>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35775-8D1E-4973-8D66-2775D912B1F8}">
  <dimension ref="A1:AG93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7" sqref="A7"/>
    </sheetView>
  </sheetViews>
  <sheetFormatPr defaultColWidth="9.19921875" defaultRowHeight="13.9" x14ac:dyDescent="0.4"/>
  <cols>
    <col min="1" max="1" width="27.6640625" style="1" bestFit="1" customWidth="1"/>
    <col min="2" max="2" width="4.1328125" style="1" bestFit="1" customWidth="1"/>
    <col min="3" max="3" width="9.59765625" style="1" customWidth="1"/>
    <col min="4" max="4" width="8.19921875" style="1" customWidth="1"/>
    <col min="5" max="5" width="5.19921875" style="1" customWidth="1"/>
    <col min="6" max="6" width="8.265625" style="1" bestFit="1" customWidth="1"/>
    <col min="7" max="7" width="5.796875" style="1" customWidth="1"/>
    <col min="8" max="8" width="7.73046875" style="1" customWidth="1"/>
    <col min="9" max="9" width="13.796875" style="1" customWidth="1"/>
    <col min="10" max="10" width="12.53125" style="1" customWidth="1"/>
    <col min="11" max="11" width="7" style="1" customWidth="1"/>
    <col min="12" max="12" width="7.19921875" style="1" customWidth="1"/>
    <col min="13" max="13" width="3.796875" style="1" customWidth="1"/>
    <col min="14" max="14" width="6.53125" style="1" bestFit="1" customWidth="1"/>
    <col min="15" max="15" width="9.6640625" style="1" bestFit="1" customWidth="1"/>
    <col min="16" max="16" width="6.6640625" style="1" bestFit="1" customWidth="1"/>
    <col min="17" max="17" width="2.06640625" style="1" bestFit="1" customWidth="1"/>
    <col min="18" max="19" width="6.06640625" style="1" bestFit="1" customWidth="1"/>
    <col min="20" max="23" width="5.06640625" style="1" bestFit="1" customWidth="1"/>
    <col min="24" max="26" width="4.06640625" style="1" bestFit="1" customWidth="1"/>
    <col min="27" max="29" width="3.06640625" style="1" bestFit="1" customWidth="1"/>
    <col min="30" max="30" width="2.06640625" style="1" bestFit="1" customWidth="1"/>
    <col min="31" max="32" width="8.06640625" style="1" bestFit="1" customWidth="1"/>
    <col min="33" max="33" width="7.3984375" style="1" bestFit="1" customWidth="1"/>
    <col min="34" max="16384" width="9.19921875" style="1"/>
  </cols>
  <sheetData>
    <row r="1" spans="1:33" x14ac:dyDescent="0.4">
      <c r="B1" s="1">
        <v>1</v>
      </c>
      <c r="C1" s="1">
        <f t="shared" ref="C1:M1" si="0">D1*2</f>
        <v>32768</v>
      </c>
      <c r="D1" s="1">
        <f t="shared" si="0"/>
        <v>16384</v>
      </c>
      <c r="E1" s="1">
        <f t="shared" si="0"/>
        <v>8192</v>
      </c>
      <c r="F1" s="1">
        <f t="shared" si="0"/>
        <v>4096</v>
      </c>
      <c r="G1" s="1">
        <f t="shared" si="0"/>
        <v>2048</v>
      </c>
      <c r="H1" s="1">
        <f t="shared" si="0"/>
        <v>1024</v>
      </c>
      <c r="I1" s="1">
        <f t="shared" si="0"/>
        <v>512</v>
      </c>
      <c r="J1" s="1">
        <f t="shared" si="0"/>
        <v>256</v>
      </c>
      <c r="K1" s="1">
        <f t="shared" si="0"/>
        <v>128</v>
      </c>
      <c r="L1" s="1">
        <f t="shared" si="0"/>
        <v>64</v>
      </c>
      <c r="M1" s="1">
        <f t="shared" si="0"/>
        <v>32</v>
      </c>
      <c r="N1" s="1">
        <f>O1*2</f>
        <v>16</v>
      </c>
      <c r="O1" s="1">
        <v>8</v>
      </c>
      <c r="P1" s="1">
        <v>65536</v>
      </c>
    </row>
    <row r="2" spans="1:33" x14ac:dyDescent="0.4">
      <c r="B2" s="1" t="s">
        <v>72</v>
      </c>
      <c r="C2" s="1" t="s">
        <v>63</v>
      </c>
      <c r="D2" s="1" t="s">
        <v>64</v>
      </c>
      <c r="E2" s="1" t="s">
        <v>71</v>
      </c>
      <c r="F2" s="1" t="s">
        <v>73</v>
      </c>
      <c r="G2" s="1" t="s">
        <v>65</v>
      </c>
      <c r="H2" s="1" t="s">
        <v>66</v>
      </c>
      <c r="I2" s="1" t="s">
        <v>67</v>
      </c>
      <c r="J2" s="1" t="s">
        <v>68</v>
      </c>
      <c r="K2" s="1" t="s">
        <v>69</v>
      </c>
      <c r="L2" s="1" t="s">
        <v>70</v>
      </c>
      <c r="M2" s="1" t="s">
        <v>95</v>
      </c>
      <c r="N2" s="1" t="s">
        <v>77</v>
      </c>
      <c r="O2" s="1" t="s">
        <v>79</v>
      </c>
      <c r="P2" s="1" t="s">
        <v>74</v>
      </c>
    </row>
    <row r="3" spans="1:33" s="2" customFormat="1" x14ac:dyDescent="0.4">
      <c r="A3" s="2" t="s">
        <v>47</v>
      </c>
      <c r="B3" s="2">
        <v>7</v>
      </c>
      <c r="Q3" s="2">
        <f>B3*B$1</f>
        <v>7</v>
      </c>
      <c r="R3" s="2">
        <f>C3*C$1</f>
        <v>0</v>
      </c>
      <c r="S3" s="2">
        <f>D3*D$1</f>
        <v>0</v>
      </c>
      <c r="T3" s="2">
        <f>E3*E$1</f>
        <v>0</v>
      </c>
      <c r="U3" s="2">
        <f>F3*F$1</f>
        <v>0</v>
      </c>
      <c r="V3" s="2">
        <f>G3*G$1</f>
        <v>0</v>
      </c>
      <c r="W3" s="2">
        <f>H3*H$1</f>
        <v>0</v>
      </c>
      <c r="X3" s="2">
        <f>I3*I$1</f>
        <v>0</v>
      </c>
      <c r="Y3" s="2">
        <f>J3*J$1</f>
        <v>0</v>
      </c>
      <c r="Z3" s="2">
        <f>K3*K$1</f>
        <v>0</v>
      </c>
      <c r="AA3" s="2">
        <f>L3*L$1</f>
        <v>0</v>
      </c>
      <c r="AB3" s="2">
        <f>M3*M$1</f>
        <v>0</v>
      </c>
      <c r="AC3" s="2">
        <f>N3*N$1</f>
        <v>0</v>
      </c>
      <c r="AD3" s="2">
        <f>O3*O$1</f>
        <v>0</v>
      </c>
      <c r="AE3" s="2">
        <f>P3*P$1</f>
        <v>0</v>
      </c>
      <c r="AF3" s="2">
        <f>SUM(Q3:AE3)</f>
        <v>7</v>
      </c>
      <c r="AG3" s="2" t="str">
        <f>DEC2HEX(AF3)</f>
        <v>7</v>
      </c>
    </row>
    <row r="4" spans="1:33" s="2" customFormat="1" x14ac:dyDescent="0.4">
      <c r="A4" s="2" t="s">
        <v>28</v>
      </c>
      <c r="B4" s="2">
        <v>1</v>
      </c>
      <c r="L4" s="2">
        <v>1</v>
      </c>
      <c r="Q4" s="2">
        <f>B4*B$1</f>
        <v>1</v>
      </c>
      <c r="R4" s="2">
        <f>C4*C$1</f>
        <v>0</v>
      </c>
      <c r="S4" s="2">
        <f>D4*D$1</f>
        <v>0</v>
      </c>
      <c r="T4" s="2">
        <f>E4*E$1</f>
        <v>0</v>
      </c>
      <c r="U4" s="2">
        <f>F4*F$1</f>
        <v>0</v>
      </c>
      <c r="V4" s="2">
        <f>G4*G$1</f>
        <v>0</v>
      </c>
      <c r="W4" s="2">
        <f>H4*H$1</f>
        <v>0</v>
      </c>
      <c r="X4" s="2">
        <f>I4*I$1</f>
        <v>0</v>
      </c>
      <c r="Y4" s="2">
        <f>J4*J$1</f>
        <v>0</v>
      </c>
      <c r="Z4" s="2">
        <f>K4*K$1</f>
        <v>0</v>
      </c>
      <c r="AA4" s="2">
        <f>L4*L$1</f>
        <v>64</v>
      </c>
      <c r="AB4" s="2">
        <f>M4*M$1</f>
        <v>0</v>
      </c>
      <c r="AC4" s="2">
        <f>N4*N$1</f>
        <v>0</v>
      </c>
      <c r="AD4" s="2">
        <f>O4*O$1</f>
        <v>0</v>
      </c>
      <c r="AE4" s="2">
        <f>P4*P$1</f>
        <v>0</v>
      </c>
      <c r="AF4" s="2">
        <f>SUM(Q4:AE4)</f>
        <v>65</v>
      </c>
      <c r="AG4" s="2" t="str">
        <f>DEC2HEX(AF4)</f>
        <v>41</v>
      </c>
    </row>
    <row r="5" spans="1:33" s="2" customFormat="1" x14ac:dyDescent="0.4">
      <c r="A5" s="2" t="s">
        <v>27</v>
      </c>
      <c r="B5" s="2">
        <v>2</v>
      </c>
      <c r="L5" s="2">
        <v>1</v>
      </c>
      <c r="Q5" s="2">
        <f>B5*B$1</f>
        <v>2</v>
      </c>
      <c r="R5" s="2">
        <f>C5*C$1</f>
        <v>0</v>
      </c>
      <c r="S5" s="2">
        <f>D5*D$1</f>
        <v>0</v>
      </c>
      <c r="T5" s="2">
        <f>E5*E$1</f>
        <v>0</v>
      </c>
      <c r="U5" s="2">
        <f>F5*F$1</f>
        <v>0</v>
      </c>
      <c r="V5" s="2">
        <f>G5*G$1</f>
        <v>0</v>
      </c>
      <c r="W5" s="2">
        <f>H5*H$1</f>
        <v>0</v>
      </c>
      <c r="X5" s="2">
        <f>I5*I$1</f>
        <v>0</v>
      </c>
      <c r="Y5" s="2">
        <f>J5*J$1</f>
        <v>0</v>
      </c>
      <c r="Z5" s="2">
        <f>K5*K$1</f>
        <v>0</v>
      </c>
      <c r="AA5" s="2">
        <f>L5*L$1</f>
        <v>64</v>
      </c>
      <c r="AB5" s="2">
        <f>M5*M$1</f>
        <v>0</v>
      </c>
      <c r="AC5" s="2">
        <f>N5*N$1</f>
        <v>0</v>
      </c>
      <c r="AD5" s="2">
        <f>O5*O$1</f>
        <v>0</v>
      </c>
      <c r="AE5" s="2">
        <f>P5*P$1</f>
        <v>0</v>
      </c>
      <c r="AF5" s="2">
        <f>SUM(Q5:AE5)</f>
        <v>66</v>
      </c>
      <c r="AG5" s="2" t="str">
        <f>DEC2HEX(AF5)</f>
        <v>42</v>
      </c>
    </row>
    <row r="6" spans="1:33" s="2" customFormat="1" x14ac:dyDescent="0.4">
      <c r="A6" s="2" t="s">
        <v>17</v>
      </c>
      <c r="L6" s="2">
        <v>1</v>
      </c>
      <c r="M6" s="2">
        <v>1</v>
      </c>
      <c r="Q6" s="2">
        <f>B6*B$1</f>
        <v>0</v>
      </c>
      <c r="R6" s="2">
        <f>C6*C$1</f>
        <v>0</v>
      </c>
      <c r="S6" s="2">
        <f>D6*D$1</f>
        <v>0</v>
      </c>
      <c r="T6" s="2">
        <f>E6*E$1</f>
        <v>0</v>
      </c>
      <c r="U6" s="2">
        <f>F6*F$1</f>
        <v>0</v>
      </c>
      <c r="V6" s="2">
        <f>G6*G$1</f>
        <v>0</v>
      </c>
      <c r="W6" s="2">
        <f>H6*H$1</f>
        <v>0</v>
      </c>
      <c r="X6" s="2">
        <f>I6*I$1</f>
        <v>0</v>
      </c>
      <c r="Y6" s="2">
        <f>J6*J$1</f>
        <v>0</v>
      </c>
      <c r="Z6" s="2">
        <f>K6*K$1</f>
        <v>0</v>
      </c>
      <c r="AA6" s="2">
        <f>L6*L$1</f>
        <v>64</v>
      </c>
      <c r="AB6" s="2">
        <f>M6*M$1</f>
        <v>32</v>
      </c>
      <c r="AC6" s="2">
        <f>N6*N$1</f>
        <v>0</v>
      </c>
      <c r="AD6" s="2">
        <f>O6*O$1</f>
        <v>0</v>
      </c>
      <c r="AE6" s="2">
        <f>P6*P$1</f>
        <v>0</v>
      </c>
      <c r="AF6" s="2">
        <f>SUM(Q6:AE6)</f>
        <v>96</v>
      </c>
      <c r="AG6" s="2" t="str">
        <f>DEC2HEX(AF6)</f>
        <v>60</v>
      </c>
    </row>
    <row r="7" spans="1:33" s="2" customFormat="1" x14ac:dyDescent="0.4">
      <c r="A7" s="1" t="s">
        <v>21</v>
      </c>
      <c r="B7" s="1"/>
      <c r="C7" s="1"/>
      <c r="D7" s="1"/>
      <c r="E7" s="1"/>
      <c r="F7" s="1"/>
      <c r="G7" s="1"/>
      <c r="H7" s="1"/>
      <c r="I7" s="1"/>
      <c r="J7" s="1"/>
      <c r="K7" s="1">
        <v>1</v>
      </c>
      <c r="L7" s="1"/>
      <c r="M7" s="1"/>
      <c r="N7" s="1"/>
      <c r="O7" s="1"/>
      <c r="P7" s="1"/>
      <c r="Q7" s="1">
        <f>B7*B$1</f>
        <v>0</v>
      </c>
      <c r="R7" s="1">
        <f>C7*C$1</f>
        <v>0</v>
      </c>
      <c r="S7" s="1">
        <f>D7*D$1</f>
        <v>0</v>
      </c>
      <c r="T7" s="1">
        <f>E7*E$1</f>
        <v>0</v>
      </c>
      <c r="U7" s="1">
        <f>F7*F$1</f>
        <v>0</v>
      </c>
      <c r="V7" s="1">
        <f>G7*G$1</f>
        <v>0</v>
      </c>
      <c r="W7" s="1">
        <f>H7*H$1</f>
        <v>0</v>
      </c>
      <c r="X7" s="1">
        <f>I7*I$1</f>
        <v>0</v>
      </c>
      <c r="Y7" s="1">
        <f>J7*J$1</f>
        <v>0</v>
      </c>
      <c r="Z7" s="1">
        <f>K7*K$1</f>
        <v>128</v>
      </c>
      <c r="AA7" s="1">
        <f>L7*L$1</f>
        <v>0</v>
      </c>
      <c r="AB7" s="1">
        <f>M7*M$1</f>
        <v>0</v>
      </c>
      <c r="AC7" s="1">
        <f>N7*N$1</f>
        <v>0</v>
      </c>
      <c r="AD7" s="1">
        <f>O7*O$1</f>
        <v>0</v>
      </c>
      <c r="AE7" s="1">
        <f>P7*P$1</f>
        <v>0</v>
      </c>
      <c r="AF7" s="1">
        <f>SUM(Q7:AE7)</f>
        <v>128</v>
      </c>
      <c r="AG7" s="1" t="str">
        <f>DEC2HEX(AF7)</f>
        <v>80</v>
      </c>
    </row>
    <row r="8" spans="1:33" s="2" customFormat="1" x14ac:dyDescent="0.4">
      <c r="A8" s="1" t="s">
        <v>101</v>
      </c>
      <c r="B8" s="1">
        <v>1</v>
      </c>
      <c r="C8" s="1"/>
      <c r="D8" s="1"/>
      <c r="E8" s="1"/>
      <c r="F8" s="1"/>
      <c r="G8" s="1"/>
      <c r="H8" s="1"/>
      <c r="I8" s="1"/>
      <c r="J8" s="1"/>
      <c r="K8" s="1">
        <v>1</v>
      </c>
      <c r="L8" s="1"/>
      <c r="M8" s="1"/>
      <c r="N8" s="1"/>
      <c r="O8" s="1">
        <v>1</v>
      </c>
      <c r="P8" s="1"/>
      <c r="Q8" s="1">
        <f>B8*B$1</f>
        <v>1</v>
      </c>
      <c r="R8" s="1">
        <f>C8*C$1</f>
        <v>0</v>
      </c>
      <c r="S8" s="1">
        <f>D8*D$1</f>
        <v>0</v>
      </c>
      <c r="T8" s="1">
        <f>E8*E$1</f>
        <v>0</v>
      </c>
      <c r="U8" s="1">
        <f>F8*F$1</f>
        <v>0</v>
      </c>
      <c r="V8" s="1">
        <f>G8*G$1</f>
        <v>0</v>
      </c>
      <c r="W8" s="1">
        <f>H8*H$1</f>
        <v>0</v>
      </c>
      <c r="X8" s="1">
        <f>I8*I$1</f>
        <v>0</v>
      </c>
      <c r="Y8" s="1">
        <f>J8*J$1</f>
        <v>0</v>
      </c>
      <c r="Z8" s="1">
        <f>K8*K$1</f>
        <v>128</v>
      </c>
      <c r="AA8" s="1">
        <f>L8*L$1</f>
        <v>0</v>
      </c>
      <c r="AB8" s="1">
        <f>M8*M$1</f>
        <v>0</v>
      </c>
      <c r="AC8" s="1">
        <f>N8*N$1</f>
        <v>0</v>
      </c>
      <c r="AD8" s="1">
        <f>O8*O$1</f>
        <v>8</v>
      </c>
      <c r="AE8" s="1">
        <f>P8*P$1</f>
        <v>0</v>
      </c>
      <c r="AF8" s="1">
        <f>SUM(Q8:AE8)</f>
        <v>137</v>
      </c>
      <c r="AG8" s="1" t="str">
        <f>DEC2HEX(AF8)</f>
        <v>89</v>
      </c>
    </row>
    <row r="9" spans="1:33" s="2" customFormat="1" x14ac:dyDescent="0.4">
      <c r="A9" s="1" t="s">
        <v>24</v>
      </c>
      <c r="B9" s="1">
        <v>2</v>
      </c>
      <c r="C9" s="1"/>
      <c r="D9" s="1"/>
      <c r="E9" s="1"/>
      <c r="F9" s="1"/>
      <c r="G9" s="1"/>
      <c r="H9" s="1"/>
      <c r="I9" s="1"/>
      <c r="J9" s="1"/>
      <c r="K9" s="1">
        <v>1</v>
      </c>
      <c r="L9" s="1"/>
      <c r="M9" s="1"/>
      <c r="N9" s="1"/>
      <c r="O9" s="1">
        <v>1</v>
      </c>
      <c r="P9" s="1"/>
      <c r="Q9" s="1">
        <f>B9*B$1</f>
        <v>2</v>
      </c>
      <c r="R9" s="1">
        <f>C9*C$1</f>
        <v>0</v>
      </c>
      <c r="S9" s="1">
        <f>D9*D$1</f>
        <v>0</v>
      </c>
      <c r="T9" s="1">
        <f>E9*E$1</f>
        <v>0</v>
      </c>
      <c r="U9" s="1">
        <f>F9*F$1</f>
        <v>0</v>
      </c>
      <c r="V9" s="1">
        <f>G9*G$1</f>
        <v>0</v>
      </c>
      <c r="W9" s="1">
        <f>H9*H$1</f>
        <v>0</v>
      </c>
      <c r="X9" s="1">
        <f>I9*I$1</f>
        <v>0</v>
      </c>
      <c r="Y9" s="1">
        <f>J9*J$1</f>
        <v>0</v>
      </c>
      <c r="Z9" s="1">
        <f>K9*K$1</f>
        <v>128</v>
      </c>
      <c r="AA9" s="1">
        <f>L9*L$1</f>
        <v>0</v>
      </c>
      <c r="AB9" s="1">
        <f>M9*M$1</f>
        <v>0</v>
      </c>
      <c r="AC9" s="1">
        <f>N9*N$1</f>
        <v>0</v>
      </c>
      <c r="AD9" s="1">
        <f>O9*O$1</f>
        <v>8</v>
      </c>
      <c r="AE9" s="1">
        <f>P9*P$1</f>
        <v>0</v>
      </c>
      <c r="AF9" s="1">
        <f>SUM(Q9:AE9)</f>
        <v>138</v>
      </c>
      <c r="AG9" s="1" t="str">
        <f>DEC2HEX(AF9)</f>
        <v>8A</v>
      </c>
    </row>
    <row r="10" spans="1:33" x14ac:dyDescent="0.4">
      <c r="A10" s="1" t="s">
        <v>80</v>
      </c>
      <c r="B10" s="1">
        <v>2</v>
      </c>
      <c r="K10" s="1">
        <v>1</v>
      </c>
      <c r="N10" s="1">
        <v>1</v>
      </c>
      <c r="O10" s="1">
        <v>1</v>
      </c>
      <c r="Q10" s="1">
        <f>B10*B$1</f>
        <v>2</v>
      </c>
      <c r="R10" s="1">
        <f>C10*C$1</f>
        <v>0</v>
      </c>
      <c r="S10" s="1">
        <f>D10*D$1</f>
        <v>0</v>
      </c>
      <c r="T10" s="1">
        <f>E10*E$1</f>
        <v>0</v>
      </c>
      <c r="U10" s="1">
        <f>F10*F$1</f>
        <v>0</v>
      </c>
      <c r="V10" s="1">
        <f>G10*G$1</f>
        <v>0</v>
      </c>
      <c r="W10" s="1">
        <f>H10*H$1</f>
        <v>0</v>
      </c>
      <c r="X10" s="1">
        <f>I10*I$1</f>
        <v>0</v>
      </c>
      <c r="Y10" s="1">
        <f>J10*J$1</f>
        <v>0</v>
      </c>
      <c r="Z10" s="1">
        <f>K10*K$1</f>
        <v>128</v>
      </c>
      <c r="AA10" s="1">
        <f>L10*L$1</f>
        <v>0</v>
      </c>
      <c r="AB10" s="1">
        <f>M10*M$1</f>
        <v>0</v>
      </c>
      <c r="AC10" s="1">
        <f>N10*N$1</f>
        <v>16</v>
      </c>
      <c r="AD10" s="1">
        <f>O10*O$1</f>
        <v>8</v>
      </c>
      <c r="AE10" s="1">
        <f>P10*P$1</f>
        <v>0</v>
      </c>
      <c r="AF10" s="1">
        <f>SUM(Q10:AE10)</f>
        <v>154</v>
      </c>
      <c r="AG10" s="1" t="str">
        <f>DEC2HEX(AF10)</f>
        <v>9A</v>
      </c>
    </row>
    <row r="11" spans="1:33" x14ac:dyDescent="0.4">
      <c r="A11" s="2" t="s">
        <v>22</v>
      </c>
      <c r="B11" s="2"/>
      <c r="C11" s="2"/>
      <c r="D11" s="2"/>
      <c r="E11" s="2"/>
      <c r="F11" s="2"/>
      <c r="G11" s="2"/>
      <c r="H11" s="2"/>
      <c r="I11" s="2"/>
      <c r="J11" s="2"/>
      <c r="K11" s="2">
        <v>1</v>
      </c>
      <c r="L11" s="2"/>
      <c r="M11" s="2">
        <v>1</v>
      </c>
      <c r="N11" s="2"/>
      <c r="O11" s="2"/>
      <c r="P11" s="2"/>
      <c r="Q11" s="2">
        <f>B11*B$1</f>
        <v>0</v>
      </c>
      <c r="R11" s="2">
        <f>C11*C$1</f>
        <v>0</v>
      </c>
      <c r="S11" s="2">
        <f>D11*D$1</f>
        <v>0</v>
      </c>
      <c r="T11" s="2">
        <f>E11*E$1</f>
        <v>0</v>
      </c>
      <c r="U11" s="2">
        <f>F11*F$1</f>
        <v>0</v>
      </c>
      <c r="V11" s="2">
        <f>G11*G$1</f>
        <v>0</v>
      </c>
      <c r="W11" s="2">
        <f>H11*H$1</f>
        <v>0</v>
      </c>
      <c r="X11" s="2">
        <f>I11*I$1</f>
        <v>0</v>
      </c>
      <c r="Y11" s="2">
        <f>J11*J$1</f>
        <v>0</v>
      </c>
      <c r="Z11" s="2">
        <f>K11*K$1</f>
        <v>128</v>
      </c>
      <c r="AA11" s="2">
        <f>L11*L$1</f>
        <v>0</v>
      </c>
      <c r="AB11" s="2">
        <f>M11*M$1</f>
        <v>32</v>
      </c>
      <c r="AC11" s="2">
        <f>N11*N$1</f>
        <v>0</v>
      </c>
      <c r="AD11" s="2">
        <f>O11*O$1</f>
        <v>0</v>
      </c>
      <c r="AE11" s="2">
        <f>P11*P$1</f>
        <v>0</v>
      </c>
      <c r="AF11" s="2">
        <f>SUM(Q11:AE11)</f>
        <v>160</v>
      </c>
      <c r="AG11" s="2" t="str">
        <f>DEC2HEX(AF11)</f>
        <v>A0</v>
      </c>
    </row>
    <row r="12" spans="1:33" x14ac:dyDescent="0.4">
      <c r="A12" s="1" t="s">
        <v>18</v>
      </c>
      <c r="J12" s="1">
        <v>1</v>
      </c>
      <c r="Q12" s="1">
        <f>B12*B$1</f>
        <v>0</v>
      </c>
      <c r="R12" s="1">
        <f>C12*C$1</f>
        <v>0</v>
      </c>
      <c r="S12" s="1">
        <f>D12*D$1</f>
        <v>0</v>
      </c>
      <c r="T12" s="1">
        <f>E12*E$1</f>
        <v>0</v>
      </c>
      <c r="U12" s="1">
        <f>F12*F$1</f>
        <v>0</v>
      </c>
      <c r="V12" s="1">
        <f>G12*G$1</f>
        <v>0</v>
      </c>
      <c r="W12" s="1">
        <f>H12*H$1</f>
        <v>0</v>
      </c>
      <c r="X12" s="1">
        <f>I12*I$1</f>
        <v>0</v>
      </c>
      <c r="Y12" s="1">
        <f>J12*J$1</f>
        <v>256</v>
      </c>
      <c r="Z12" s="1">
        <f>K12*K$1</f>
        <v>0</v>
      </c>
      <c r="AA12" s="1">
        <f>L12*L$1</f>
        <v>0</v>
      </c>
      <c r="AB12" s="1">
        <f>M12*M$1</f>
        <v>0</v>
      </c>
      <c r="AC12" s="1">
        <f>N12*N$1</f>
        <v>0</v>
      </c>
      <c r="AD12" s="1">
        <f>O12*O$1</f>
        <v>0</v>
      </c>
      <c r="AE12" s="1">
        <f>P12*P$1</f>
        <v>0</v>
      </c>
      <c r="AF12" s="1">
        <f>SUM(Q12:AE12)</f>
        <v>256</v>
      </c>
      <c r="AG12" s="1" t="str">
        <f>DEC2HEX(AF12)</f>
        <v>100</v>
      </c>
    </row>
    <row r="13" spans="1:33" x14ac:dyDescent="0.4">
      <c r="A13" s="1" t="s">
        <v>102</v>
      </c>
      <c r="B13" s="1">
        <v>1</v>
      </c>
      <c r="J13" s="1">
        <v>1</v>
      </c>
      <c r="O13" s="1">
        <v>1</v>
      </c>
      <c r="Q13" s="1">
        <f>B13*B$1</f>
        <v>1</v>
      </c>
      <c r="R13" s="1">
        <f>C13*C$1</f>
        <v>0</v>
      </c>
      <c r="S13" s="1">
        <f>D13*D$1</f>
        <v>0</v>
      </c>
      <c r="T13" s="1">
        <f>E13*E$1</f>
        <v>0</v>
      </c>
      <c r="U13" s="1">
        <f>F13*F$1</f>
        <v>0</v>
      </c>
      <c r="V13" s="1">
        <f>G13*G$1</f>
        <v>0</v>
      </c>
      <c r="W13" s="1">
        <f>H13*H$1</f>
        <v>0</v>
      </c>
      <c r="X13" s="1">
        <f>I13*I$1</f>
        <v>0</v>
      </c>
      <c r="Y13" s="1">
        <f>J13*J$1</f>
        <v>256</v>
      </c>
      <c r="Z13" s="1">
        <f>K13*K$1</f>
        <v>0</v>
      </c>
      <c r="AA13" s="1">
        <f>L13*L$1</f>
        <v>0</v>
      </c>
      <c r="AB13" s="1">
        <f>M13*M$1</f>
        <v>0</v>
      </c>
      <c r="AC13" s="1">
        <f>N13*N$1</f>
        <v>0</v>
      </c>
      <c r="AD13" s="1">
        <f>O13*O$1</f>
        <v>8</v>
      </c>
      <c r="AE13" s="1">
        <f>P13*P$1</f>
        <v>0</v>
      </c>
      <c r="AF13" s="1">
        <f>SUM(Q13:AE13)</f>
        <v>265</v>
      </c>
      <c r="AG13" s="1" t="str">
        <f>DEC2HEX(AF13)</f>
        <v>109</v>
      </c>
    </row>
    <row r="14" spans="1:33" x14ac:dyDescent="0.4">
      <c r="A14" s="1" t="s">
        <v>23</v>
      </c>
      <c r="B14" s="1">
        <v>2</v>
      </c>
      <c r="J14" s="1">
        <v>1</v>
      </c>
      <c r="O14" s="1">
        <v>1</v>
      </c>
      <c r="Q14" s="1">
        <f>B14*B$1</f>
        <v>2</v>
      </c>
      <c r="R14" s="1">
        <f>C14*C$1</f>
        <v>0</v>
      </c>
      <c r="S14" s="1">
        <f>D14*D$1</f>
        <v>0</v>
      </c>
      <c r="T14" s="1">
        <f>E14*E$1</f>
        <v>0</v>
      </c>
      <c r="U14" s="1">
        <f>F14*F$1</f>
        <v>0</v>
      </c>
      <c r="V14" s="1">
        <f>G14*G$1</f>
        <v>0</v>
      </c>
      <c r="W14" s="1">
        <f>H14*H$1</f>
        <v>0</v>
      </c>
      <c r="X14" s="1">
        <f>I14*I$1</f>
        <v>0</v>
      </c>
      <c r="Y14" s="1">
        <f>J14*J$1</f>
        <v>256</v>
      </c>
      <c r="Z14" s="1">
        <f>K14*K$1</f>
        <v>0</v>
      </c>
      <c r="AA14" s="1">
        <f>L14*L$1</f>
        <v>0</v>
      </c>
      <c r="AB14" s="1">
        <f>M14*M$1</f>
        <v>0</v>
      </c>
      <c r="AC14" s="1">
        <f>N14*N$1</f>
        <v>0</v>
      </c>
      <c r="AD14" s="1">
        <f>O14*O$1</f>
        <v>8</v>
      </c>
      <c r="AE14" s="1">
        <f>P14*P$1</f>
        <v>0</v>
      </c>
      <c r="AF14" s="1">
        <f>SUM(Q14:AE14)</f>
        <v>266</v>
      </c>
      <c r="AG14" s="1" t="str">
        <f>DEC2HEX(AF14)</f>
        <v>10A</v>
      </c>
    </row>
    <row r="15" spans="1:33" x14ac:dyDescent="0.4">
      <c r="A15" s="1" t="s">
        <v>104</v>
      </c>
      <c r="J15" s="1">
        <v>1</v>
      </c>
      <c r="N15" s="1">
        <v>1</v>
      </c>
      <c r="Q15" s="1">
        <f>B15*B$1</f>
        <v>0</v>
      </c>
      <c r="R15" s="1">
        <f>C15*C$1</f>
        <v>0</v>
      </c>
      <c r="S15" s="1">
        <f>D15*D$1</f>
        <v>0</v>
      </c>
      <c r="T15" s="1">
        <f>E15*E$1</f>
        <v>0</v>
      </c>
      <c r="U15" s="1">
        <f>F15*F$1</f>
        <v>0</v>
      </c>
      <c r="V15" s="1">
        <f>G15*G$1</f>
        <v>0</v>
      </c>
      <c r="W15" s="1">
        <f>H15*H$1</f>
        <v>0</v>
      </c>
      <c r="X15" s="1">
        <f>I15*I$1</f>
        <v>0</v>
      </c>
      <c r="Y15" s="1">
        <f>J15*J$1</f>
        <v>256</v>
      </c>
      <c r="Z15" s="1">
        <f>K15*K$1</f>
        <v>0</v>
      </c>
      <c r="AA15" s="1">
        <f>L15*L$1</f>
        <v>0</v>
      </c>
      <c r="AB15" s="1">
        <f>M15*M$1</f>
        <v>0</v>
      </c>
      <c r="AC15" s="1">
        <f>N15*N$1</f>
        <v>16</v>
      </c>
      <c r="AD15" s="1">
        <f>O15*O$1</f>
        <v>0</v>
      </c>
      <c r="AE15" s="1">
        <f>P15*P$1</f>
        <v>0</v>
      </c>
      <c r="AF15" s="1">
        <f>SUM(Q15:AE15)</f>
        <v>272</v>
      </c>
      <c r="AG15" s="1" t="str">
        <f>DEC2HEX(AF15)</f>
        <v>110</v>
      </c>
    </row>
    <row r="16" spans="1:33" x14ac:dyDescent="0.4">
      <c r="A16" s="1" t="s">
        <v>85</v>
      </c>
      <c r="B16" s="1">
        <v>2</v>
      </c>
      <c r="J16" s="1">
        <v>1</v>
      </c>
      <c r="N16" s="1">
        <v>1</v>
      </c>
      <c r="O16" s="1">
        <v>1</v>
      </c>
      <c r="Q16" s="1">
        <f>B16*B$1</f>
        <v>2</v>
      </c>
      <c r="R16" s="1">
        <f>C16*C$1</f>
        <v>0</v>
      </c>
      <c r="S16" s="1">
        <f>D16*D$1</f>
        <v>0</v>
      </c>
      <c r="T16" s="1">
        <f>E16*E$1</f>
        <v>0</v>
      </c>
      <c r="U16" s="1">
        <f>F16*F$1</f>
        <v>0</v>
      </c>
      <c r="V16" s="1">
        <f>G16*G$1</f>
        <v>0</v>
      </c>
      <c r="W16" s="1">
        <f>H16*H$1</f>
        <v>0</v>
      </c>
      <c r="X16" s="1">
        <f>I16*I$1</f>
        <v>0</v>
      </c>
      <c r="Y16" s="1">
        <f>J16*J$1</f>
        <v>256</v>
      </c>
      <c r="Z16" s="1">
        <f>K16*K$1</f>
        <v>0</v>
      </c>
      <c r="AA16" s="1">
        <f>L16*L$1</f>
        <v>0</v>
      </c>
      <c r="AB16" s="1">
        <f>M16*M$1</f>
        <v>0</v>
      </c>
      <c r="AC16" s="1">
        <f>N16*N$1</f>
        <v>16</v>
      </c>
      <c r="AD16" s="1">
        <f>O16*O$1</f>
        <v>8</v>
      </c>
      <c r="AE16" s="1">
        <f>P16*P$1</f>
        <v>0</v>
      </c>
      <c r="AF16" s="1">
        <f>SUM(Q16:AE16)</f>
        <v>282</v>
      </c>
      <c r="AG16" s="1" t="str">
        <f>DEC2HEX(AF16)</f>
        <v>11A</v>
      </c>
    </row>
    <row r="17" spans="1:33" x14ac:dyDescent="0.4">
      <c r="A17" s="1" t="s">
        <v>11</v>
      </c>
      <c r="I17" s="1">
        <v>1</v>
      </c>
      <c r="Q17" s="1">
        <f>B17*B$1</f>
        <v>0</v>
      </c>
      <c r="R17" s="1">
        <f>C17*C$1</f>
        <v>0</v>
      </c>
      <c r="S17" s="1">
        <f>D17*D$1</f>
        <v>0</v>
      </c>
      <c r="T17" s="1">
        <f>E17*E$1</f>
        <v>0</v>
      </c>
      <c r="U17" s="1">
        <f>F17*F$1</f>
        <v>0</v>
      </c>
      <c r="V17" s="1">
        <f>G17*G$1</f>
        <v>0</v>
      </c>
      <c r="W17" s="1">
        <f>H17*H$1</f>
        <v>0</v>
      </c>
      <c r="X17" s="1">
        <f>I17*I$1</f>
        <v>512</v>
      </c>
      <c r="Y17" s="1">
        <f>J17*J$1</f>
        <v>0</v>
      </c>
      <c r="Z17" s="1">
        <f>K17*K$1</f>
        <v>0</v>
      </c>
      <c r="AA17" s="1">
        <f>L17*L$1</f>
        <v>0</v>
      </c>
      <c r="AB17" s="1">
        <f>M17*M$1</f>
        <v>0</v>
      </c>
      <c r="AC17" s="1">
        <f>N17*N$1</f>
        <v>0</v>
      </c>
      <c r="AD17" s="1">
        <f>O17*O$1</f>
        <v>0</v>
      </c>
      <c r="AE17" s="1">
        <f>P17*P$1</f>
        <v>0</v>
      </c>
      <c r="AF17" s="1">
        <f>SUM(Q17:AE17)</f>
        <v>512</v>
      </c>
      <c r="AG17" s="1" t="str">
        <f>DEC2HEX(AF17)</f>
        <v>200</v>
      </c>
    </row>
    <row r="18" spans="1:33" x14ac:dyDescent="0.4">
      <c r="A18" s="1" t="s">
        <v>12</v>
      </c>
      <c r="I18" s="1">
        <v>1</v>
      </c>
      <c r="N18" s="1">
        <v>1</v>
      </c>
      <c r="Q18" s="1">
        <f>B18*B$1</f>
        <v>0</v>
      </c>
      <c r="R18" s="1">
        <f>C18*C$1</f>
        <v>0</v>
      </c>
      <c r="S18" s="1">
        <f>D18*D$1</f>
        <v>0</v>
      </c>
      <c r="T18" s="1">
        <f>E18*E$1</f>
        <v>0</v>
      </c>
      <c r="U18" s="1">
        <f>F18*F$1</f>
        <v>0</v>
      </c>
      <c r="V18" s="1">
        <f>G18*G$1</f>
        <v>0</v>
      </c>
      <c r="W18" s="1">
        <f>H18*H$1</f>
        <v>0</v>
      </c>
      <c r="X18" s="1">
        <f>I18*I$1</f>
        <v>512</v>
      </c>
      <c r="Y18" s="1">
        <f>J18*J$1</f>
        <v>0</v>
      </c>
      <c r="Z18" s="1">
        <f>K18*K$1</f>
        <v>0</v>
      </c>
      <c r="AA18" s="1">
        <f>L18*L$1</f>
        <v>0</v>
      </c>
      <c r="AB18" s="1">
        <f>M18*M$1</f>
        <v>0</v>
      </c>
      <c r="AC18" s="1">
        <f>N18*N$1</f>
        <v>16</v>
      </c>
      <c r="AD18" s="1">
        <f>O18*O$1</f>
        <v>0</v>
      </c>
      <c r="AE18" s="1">
        <f>P18*P$1</f>
        <v>0</v>
      </c>
      <c r="AF18" s="1">
        <f>SUM(Q18:AE18)</f>
        <v>528</v>
      </c>
      <c r="AG18" s="1" t="str">
        <f>DEC2HEX(AF18)</f>
        <v>210</v>
      </c>
    </row>
    <row r="19" spans="1:33" x14ac:dyDescent="0.4">
      <c r="A19" s="1" t="s">
        <v>14</v>
      </c>
      <c r="I19" s="1">
        <v>1</v>
      </c>
      <c r="J19" s="1">
        <v>1</v>
      </c>
      <c r="Q19" s="1">
        <f>B19*B$1</f>
        <v>0</v>
      </c>
      <c r="R19" s="1">
        <f>C19*C$1</f>
        <v>0</v>
      </c>
      <c r="S19" s="1">
        <f>D19*D$1</f>
        <v>0</v>
      </c>
      <c r="T19" s="1">
        <f>E19*E$1</f>
        <v>0</v>
      </c>
      <c r="U19" s="1">
        <f>F19*F$1</f>
        <v>0</v>
      </c>
      <c r="V19" s="1">
        <f>G19*G$1</f>
        <v>0</v>
      </c>
      <c r="W19" s="1">
        <f>H19*H$1</f>
        <v>0</v>
      </c>
      <c r="X19" s="1">
        <f>I19*I$1</f>
        <v>512</v>
      </c>
      <c r="Y19" s="1">
        <f>J19*J$1</f>
        <v>256</v>
      </c>
      <c r="Z19" s="1">
        <f>K19*K$1</f>
        <v>0</v>
      </c>
      <c r="AA19" s="1">
        <f>L19*L$1</f>
        <v>0</v>
      </c>
      <c r="AB19" s="1">
        <f>M19*M$1</f>
        <v>0</v>
      </c>
      <c r="AC19" s="1">
        <f>N19*N$1</f>
        <v>0</v>
      </c>
      <c r="AD19" s="1">
        <f>O19*O$1</f>
        <v>0</v>
      </c>
      <c r="AE19" s="1">
        <f>P19*P$1</f>
        <v>0</v>
      </c>
      <c r="AF19" s="1">
        <f>SUM(Q19:AE19)</f>
        <v>768</v>
      </c>
      <c r="AG19" s="1" t="str">
        <f>DEC2HEX(AF19)</f>
        <v>300</v>
      </c>
    </row>
    <row r="20" spans="1:33" x14ac:dyDescent="0.4">
      <c r="A20" s="2" t="s">
        <v>15</v>
      </c>
      <c r="B20" s="2"/>
      <c r="C20" s="2"/>
      <c r="D20" s="2"/>
      <c r="E20" s="2"/>
      <c r="F20" s="2"/>
      <c r="G20" s="2"/>
      <c r="H20" s="2"/>
      <c r="I20" s="2">
        <v>1</v>
      </c>
      <c r="J20" s="2">
        <v>1</v>
      </c>
      <c r="K20" s="2"/>
      <c r="L20" s="2"/>
      <c r="M20" s="2">
        <v>1</v>
      </c>
      <c r="N20" s="2"/>
      <c r="O20" s="2"/>
      <c r="P20" s="2"/>
      <c r="Q20" s="2">
        <f>B20*B$1</f>
        <v>0</v>
      </c>
      <c r="R20" s="2">
        <f>C20*C$1</f>
        <v>0</v>
      </c>
      <c r="S20" s="2">
        <f>D20*D$1</f>
        <v>0</v>
      </c>
      <c r="T20" s="2">
        <f>E20*E$1</f>
        <v>0</v>
      </c>
      <c r="U20" s="2">
        <f>F20*F$1</f>
        <v>0</v>
      </c>
      <c r="V20" s="2">
        <f>G20*G$1</f>
        <v>0</v>
      </c>
      <c r="W20" s="2">
        <f>H20*H$1</f>
        <v>0</v>
      </c>
      <c r="X20" s="2">
        <f>I20*I$1</f>
        <v>512</v>
      </c>
      <c r="Y20" s="2">
        <f>J20*J$1</f>
        <v>256</v>
      </c>
      <c r="Z20" s="2">
        <f>K20*K$1</f>
        <v>0</v>
      </c>
      <c r="AA20" s="2">
        <f>L20*L$1</f>
        <v>0</v>
      </c>
      <c r="AB20" s="2">
        <f>M20*M$1</f>
        <v>32</v>
      </c>
      <c r="AC20" s="2">
        <f>N20*N$1</f>
        <v>0</v>
      </c>
      <c r="AD20" s="2">
        <f>O20*O$1</f>
        <v>0</v>
      </c>
      <c r="AE20" s="2">
        <f>P20*P$1</f>
        <v>0</v>
      </c>
      <c r="AF20" s="2">
        <f>SUM(Q20:AE20)</f>
        <v>800</v>
      </c>
      <c r="AG20" s="2" t="str">
        <f>DEC2HEX(AF20)</f>
        <v>320</v>
      </c>
    </row>
    <row r="21" spans="1:33" x14ac:dyDescent="0.4">
      <c r="A21" s="2" t="s">
        <v>89</v>
      </c>
      <c r="B21" s="2">
        <v>5</v>
      </c>
      <c r="C21" s="2"/>
      <c r="D21" s="2"/>
      <c r="E21" s="2"/>
      <c r="F21" s="2"/>
      <c r="G21" s="2"/>
      <c r="H21" s="2"/>
      <c r="I21" s="2">
        <v>1</v>
      </c>
      <c r="J21" s="2">
        <v>1</v>
      </c>
      <c r="K21" s="2"/>
      <c r="L21" s="2"/>
      <c r="M21" s="2">
        <v>1</v>
      </c>
      <c r="N21" s="2"/>
      <c r="O21" s="2"/>
      <c r="P21" s="2"/>
      <c r="Q21" s="2">
        <f>B21*B$1</f>
        <v>5</v>
      </c>
      <c r="R21" s="2">
        <f>C21*C$1</f>
        <v>0</v>
      </c>
      <c r="S21" s="2">
        <f>D21*D$1</f>
        <v>0</v>
      </c>
      <c r="T21" s="2">
        <f>E21*E$1</f>
        <v>0</v>
      </c>
      <c r="U21" s="2">
        <f>F21*F$1</f>
        <v>0</v>
      </c>
      <c r="V21" s="2">
        <f>G21*G$1</f>
        <v>0</v>
      </c>
      <c r="W21" s="2">
        <f>H21*H$1</f>
        <v>0</v>
      </c>
      <c r="X21" s="2">
        <f>I21*I$1</f>
        <v>512</v>
      </c>
      <c r="Y21" s="2">
        <f>J21*J$1</f>
        <v>256</v>
      </c>
      <c r="Z21" s="2">
        <f>K21*K$1</f>
        <v>0</v>
      </c>
      <c r="AA21" s="2">
        <f>L21*L$1</f>
        <v>0</v>
      </c>
      <c r="AB21" s="2">
        <f>M21*M$1</f>
        <v>32</v>
      </c>
      <c r="AC21" s="2">
        <f>N21*N$1</f>
        <v>0</v>
      </c>
      <c r="AD21" s="2">
        <f>O21*O$1</f>
        <v>0</v>
      </c>
      <c r="AE21" s="2">
        <f>P21*P$1</f>
        <v>0</v>
      </c>
      <c r="AF21" s="2">
        <f>SUM(Q21:AE21)</f>
        <v>805</v>
      </c>
      <c r="AG21" s="2" t="str">
        <f>DEC2HEX(AF21)</f>
        <v>325</v>
      </c>
    </row>
    <row r="22" spans="1:33" x14ac:dyDescent="0.4">
      <c r="A22" s="1" t="s">
        <v>7</v>
      </c>
      <c r="H22" s="1">
        <v>1</v>
      </c>
      <c r="Q22" s="1">
        <f>B22*B$1</f>
        <v>0</v>
      </c>
      <c r="R22" s="1">
        <f>C22*C$1</f>
        <v>0</v>
      </c>
      <c r="S22" s="1">
        <f>D22*D$1</f>
        <v>0</v>
      </c>
      <c r="T22" s="1">
        <f>E22*E$1</f>
        <v>0</v>
      </c>
      <c r="U22" s="1">
        <f>F22*F$1</f>
        <v>0</v>
      </c>
      <c r="V22" s="1">
        <f>G22*G$1</f>
        <v>0</v>
      </c>
      <c r="W22" s="1">
        <f>H22*H$1</f>
        <v>1024</v>
      </c>
      <c r="X22" s="1">
        <f>I22*I$1</f>
        <v>0</v>
      </c>
      <c r="Y22" s="1">
        <f>J22*J$1</f>
        <v>0</v>
      </c>
      <c r="Z22" s="1">
        <f>K22*K$1</f>
        <v>0</v>
      </c>
      <c r="AA22" s="1">
        <f>L22*L$1</f>
        <v>0</v>
      </c>
      <c r="AB22" s="1">
        <f>M22*M$1</f>
        <v>0</v>
      </c>
      <c r="AC22" s="1">
        <f>N22*N$1</f>
        <v>0</v>
      </c>
      <c r="AD22" s="1">
        <f>O22*O$1</f>
        <v>0</v>
      </c>
      <c r="AE22" s="1">
        <f>P22*P$1</f>
        <v>0</v>
      </c>
      <c r="AF22" s="1">
        <f>SUM(Q22:AE22)</f>
        <v>1024</v>
      </c>
      <c r="AG22" s="1" t="str">
        <f>DEC2HEX(AF22)</f>
        <v>400</v>
      </c>
    </row>
    <row r="23" spans="1:33" x14ac:dyDescent="0.4">
      <c r="A23" s="1" t="s">
        <v>25</v>
      </c>
      <c r="B23" s="1">
        <v>2</v>
      </c>
      <c r="H23" s="1">
        <v>1</v>
      </c>
      <c r="O23" s="1">
        <v>1</v>
      </c>
      <c r="Q23" s="1">
        <f>B23*B$1</f>
        <v>2</v>
      </c>
      <c r="R23" s="1">
        <f>C23*C$1</f>
        <v>0</v>
      </c>
      <c r="S23" s="1">
        <f>D23*D$1</f>
        <v>0</v>
      </c>
      <c r="T23" s="1">
        <f>E23*E$1</f>
        <v>0</v>
      </c>
      <c r="U23" s="1">
        <f>F23*F$1</f>
        <v>0</v>
      </c>
      <c r="V23" s="1">
        <f>G23*G$1</f>
        <v>0</v>
      </c>
      <c r="W23" s="1">
        <f>H23*H$1</f>
        <v>1024</v>
      </c>
      <c r="X23" s="1">
        <f>I23*I$1</f>
        <v>0</v>
      </c>
      <c r="Y23" s="1">
        <f>J23*J$1</f>
        <v>0</v>
      </c>
      <c r="Z23" s="1">
        <f>K23*K$1</f>
        <v>0</v>
      </c>
      <c r="AA23" s="1">
        <f>L23*L$1</f>
        <v>0</v>
      </c>
      <c r="AB23" s="1">
        <f>M23*M$1</f>
        <v>0</v>
      </c>
      <c r="AC23" s="1">
        <f>N23*N$1</f>
        <v>0</v>
      </c>
      <c r="AD23" s="1">
        <f>O23*O$1</f>
        <v>8</v>
      </c>
      <c r="AE23" s="1">
        <f>P23*P$1</f>
        <v>0</v>
      </c>
      <c r="AF23" s="1">
        <f>SUM(Q23:AE23)</f>
        <v>1034</v>
      </c>
      <c r="AG23" s="1" t="str">
        <f>DEC2HEX(AF23)</f>
        <v>40A</v>
      </c>
    </row>
    <row r="24" spans="1:33" x14ac:dyDescent="0.4">
      <c r="A24" s="1" t="s">
        <v>8</v>
      </c>
      <c r="H24" s="1">
        <v>1</v>
      </c>
      <c r="N24" s="1">
        <v>1</v>
      </c>
      <c r="Q24" s="1">
        <f>B24*B$1</f>
        <v>0</v>
      </c>
      <c r="R24" s="1">
        <f>C24*C$1</f>
        <v>0</v>
      </c>
      <c r="S24" s="1">
        <f>D24*D$1</f>
        <v>0</v>
      </c>
      <c r="T24" s="1">
        <f>E24*E$1</f>
        <v>0</v>
      </c>
      <c r="U24" s="1">
        <f>F24*F$1</f>
        <v>0</v>
      </c>
      <c r="V24" s="1">
        <f>G24*G$1</f>
        <v>0</v>
      </c>
      <c r="W24" s="1">
        <f>H24*H$1</f>
        <v>1024</v>
      </c>
      <c r="X24" s="1">
        <f>I24*I$1</f>
        <v>0</v>
      </c>
      <c r="Y24" s="1">
        <f>J24*J$1</f>
        <v>0</v>
      </c>
      <c r="Z24" s="1">
        <f>K24*K$1</f>
        <v>0</v>
      </c>
      <c r="AA24" s="1">
        <f>L24*L$1</f>
        <v>0</v>
      </c>
      <c r="AB24" s="1">
        <f>M24*M$1</f>
        <v>0</v>
      </c>
      <c r="AC24" s="1">
        <f>N24*N$1</f>
        <v>16</v>
      </c>
      <c r="AD24" s="1">
        <f>O24*O$1</f>
        <v>0</v>
      </c>
      <c r="AE24" s="1">
        <f>P24*P$1</f>
        <v>0</v>
      </c>
      <c r="AF24" s="1">
        <f>SUM(Q24:AE24)</f>
        <v>1040</v>
      </c>
      <c r="AG24" s="1" t="str">
        <f>DEC2HEX(AF24)</f>
        <v>410</v>
      </c>
    </row>
    <row r="25" spans="1:33" x14ac:dyDescent="0.4">
      <c r="A25" s="2" t="s">
        <v>9</v>
      </c>
      <c r="B25" s="2"/>
      <c r="C25" s="2"/>
      <c r="D25" s="2"/>
      <c r="E25" s="2"/>
      <c r="F25" s="2"/>
      <c r="G25" s="2"/>
      <c r="H25" s="2">
        <v>1</v>
      </c>
      <c r="I25" s="2"/>
      <c r="J25" s="2"/>
      <c r="K25" s="2"/>
      <c r="L25" s="2"/>
      <c r="M25" s="2">
        <v>1</v>
      </c>
      <c r="N25" s="2"/>
      <c r="O25" s="2"/>
      <c r="P25" s="2"/>
      <c r="Q25" s="2">
        <f>B25*B$1</f>
        <v>0</v>
      </c>
      <c r="R25" s="2">
        <f>C25*C$1</f>
        <v>0</v>
      </c>
      <c r="S25" s="2">
        <f>D25*D$1</f>
        <v>0</v>
      </c>
      <c r="T25" s="2">
        <f>E25*E$1</f>
        <v>0</v>
      </c>
      <c r="U25" s="2">
        <f>F25*F$1</f>
        <v>0</v>
      </c>
      <c r="V25" s="2">
        <f>G25*G$1</f>
        <v>0</v>
      </c>
      <c r="W25" s="2">
        <f>H25*H$1</f>
        <v>1024</v>
      </c>
      <c r="X25" s="2">
        <f>I25*I$1</f>
        <v>0</v>
      </c>
      <c r="Y25" s="2">
        <f>J25*J$1</f>
        <v>0</v>
      </c>
      <c r="Z25" s="2">
        <f>K25*K$1</f>
        <v>0</v>
      </c>
      <c r="AA25" s="2">
        <f>L25*L$1</f>
        <v>0</v>
      </c>
      <c r="AB25" s="2">
        <f>M25*M$1</f>
        <v>32</v>
      </c>
      <c r="AC25" s="2">
        <f>N25*N$1</f>
        <v>0</v>
      </c>
      <c r="AD25" s="2">
        <f>O25*O$1</f>
        <v>0</v>
      </c>
      <c r="AE25" s="2">
        <f>P25*P$1</f>
        <v>0</v>
      </c>
      <c r="AF25" s="2">
        <f>SUM(Q25:AE25)</f>
        <v>1056</v>
      </c>
      <c r="AG25" s="2" t="str">
        <f>DEC2HEX(AF25)</f>
        <v>420</v>
      </c>
    </row>
    <row r="26" spans="1:33" s="2" customFormat="1" x14ac:dyDescent="0.4">
      <c r="A26" s="2" t="s">
        <v>81</v>
      </c>
      <c r="B26" s="2">
        <v>1</v>
      </c>
      <c r="H26" s="2">
        <v>1</v>
      </c>
      <c r="L26" s="2">
        <v>1</v>
      </c>
      <c r="Q26" s="2">
        <f>B26*B$1</f>
        <v>1</v>
      </c>
      <c r="R26" s="2">
        <f>C26*C$1</f>
        <v>0</v>
      </c>
      <c r="S26" s="2">
        <f>D26*D$1</f>
        <v>0</v>
      </c>
      <c r="T26" s="2">
        <f>E26*E$1</f>
        <v>0</v>
      </c>
      <c r="U26" s="2">
        <f>F26*F$1</f>
        <v>0</v>
      </c>
      <c r="V26" s="2">
        <f>G26*G$1</f>
        <v>0</v>
      </c>
      <c r="W26" s="2">
        <f>H26*H$1</f>
        <v>1024</v>
      </c>
      <c r="X26" s="2">
        <f>I26*I$1</f>
        <v>0</v>
      </c>
      <c r="Y26" s="2">
        <f>J26*J$1</f>
        <v>0</v>
      </c>
      <c r="Z26" s="2">
        <f>K26*K$1</f>
        <v>0</v>
      </c>
      <c r="AA26" s="2">
        <f>L26*L$1</f>
        <v>64</v>
      </c>
      <c r="AB26" s="2">
        <f>M26*M$1</f>
        <v>0</v>
      </c>
      <c r="AC26" s="2">
        <f>N26*N$1</f>
        <v>0</v>
      </c>
      <c r="AD26" s="2">
        <f>O26*O$1</f>
        <v>0</v>
      </c>
      <c r="AE26" s="2">
        <f>P26*P$1</f>
        <v>0</v>
      </c>
      <c r="AF26" s="2">
        <f>SUM(Q26:AE26)</f>
        <v>1089</v>
      </c>
      <c r="AG26" s="2" t="str">
        <f>DEC2HEX(AF26)</f>
        <v>441</v>
      </c>
    </row>
    <row r="27" spans="1:33" x14ac:dyDescent="0.4">
      <c r="A27" s="1" t="s">
        <v>94</v>
      </c>
      <c r="H27" s="1">
        <v>1</v>
      </c>
      <c r="K27" s="1">
        <v>1</v>
      </c>
      <c r="Q27" s="1">
        <f>B27*B$1</f>
        <v>0</v>
      </c>
      <c r="R27" s="1">
        <f>C27*C$1</f>
        <v>0</v>
      </c>
      <c r="S27" s="1">
        <f>D27*D$1</f>
        <v>0</v>
      </c>
      <c r="T27" s="1">
        <f>E27*E$1</f>
        <v>0</v>
      </c>
      <c r="U27" s="1">
        <f>F27*F$1</f>
        <v>0</v>
      </c>
      <c r="V27" s="1">
        <f>G27*G$1</f>
        <v>0</v>
      </c>
      <c r="W27" s="1">
        <f>H27*H$1</f>
        <v>1024</v>
      </c>
      <c r="X27" s="1">
        <f>I27*I$1</f>
        <v>0</v>
      </c>
      <c r="Y27" s="1">
        <f>J27*J$1</f>
        <v>0</v>
      </c>
      <c r="Z27" s="1">
        <f>K27*K$1</f>
        <v>128</v>
      </c>
      <c r="AA27" s="1">
        <f>L27*L$1</f>
        <v>0</v>
      </c>
      <c r="AB27" s="1">
        <f>M27*M$1</f>
        <v>0</v>
      </c>
      <c r="AC27" s="1">
        <f>N27*N$1</f>
        <v>0</v>
      </c>
      <c r="AD27" s="1">
        <f>O27*O$1</f>
        <v>0</v>
      </c>
      <c r="AE27" s="1">
        <f>P27*P$1</f>
        <v>0</v>
      </c>
      <c r="AF27" s="1">
        <f>SUM(Q27:AE27)</f>
        <v>1152</v>
      </c>
      <c r="AG27" s="1" t="str">
        <f>DEC2HEX(AF27)</f>
        <v>480</v>
      </c>
    </row>
    <row r="28" spans="1:33" x14ac:dyDescent="0.4">
      <c r="A28" s="1" t="s">
        <v>19</v>
      </c>
      <c r="H28" s="1">
        <v>1</v>
      </c>
      <c r="J28" s="1">
        <v>1</v>
      </c>
      <c r="Q28" s="1">
        <f>B28*B$1</f>
        <v>0</v>
      </c>
      <c r="R28" s="1">
        <f>C28*C$1</f>
        <v>0</v>
      </c>
      <c r="S28" s="1">
        <f>D28*D$1</f>
        <v>0</v>
      </c>
      <c r="T28" s="1">
        <f>E28*E$1</f>
        <v>0</v>
      </c>
      <c r="U28" s="1">
        <f>F28*F$1</f>
        <v>0</v>
      </c>
      <c r="V28" s="1">
        <f>G28*G$1</f>
        <v>0</v>
      </c>
      <c r="W28" s="1">
        <f>H28*H$1</f>
        <v>1024</v>
      </c>
      <c r="X28" s="1">
        <f>I28*I$1</f>
        <v>0</v>
      </c>
      <c r="Y28" s="1">
        <f>J28*J$1</f>
        <v>256</v>
      </c>
      <c r="Z28" s="1">
        <f>K28*K$1</f>
        <v>0</v>
      </c>
      <c r="AA28" s="1">
        <f>L28*L$1</f>
        <v>0</v>
      </c>
      <c r="AB28" s="1">
        <f>M28*M$1</f>
        <v>0</v>
      </c>
      <c r="AC28" s="1">
        <f>N28*N$1</f>
        <v>0</v>
      </c>
      <c r="AD28" s="1">
        <f>O28*O$1</f>
        <v>0</v>
      </c>
      <c r="AE28" s="1">
        <f>P28*P$1</f>
        <v>0</v>
      </c>
      <c r="AF28" s="1">
        <f>SUM(Q28:AE28)</f>
        <v>1280</v>
      </c>
      <c r="AG28" s="1" t="str">
        <f>DEC2HEX(AF28)</f>
        <v>500</v>
      </c>
    </row>
    <row r="29" spans="1:33" x14ac:dyDescent="0.4">
      <c r="A29" s="1" t="s">
        <v>105</v>
      </c>
      <c r="H29" s="1">
        <v>1</v>
      </c>
      <c r="J29" s="1">
        <v>1</v>
      </c>
      <c r="N29" s="1">
        <v>1</v>
      </c>
      <c r="Q29" s="1">
        <f>B29*B$1</f>
        <v>0</v>
      </c>
      <c r="R29" s="1">
        <f>C29*C$1</f>
        <v>0</v>
      </c>
      <c r="S29" s="1">
        <f>D29*D$1</f>
        <v>0</v>
      </c>
      <c r="T29" s="1">
        <f>E29*E$1</f>
        <v>0</v>
      </c>
      <c r="U29" s="1">
        <f>F29*F$1</f>
        <v>0</v>
      </c>
      <c r="V29" s="1">
        <f>G29*G$1</f>
        <v>0</v>
      </c>
      <c r="W29" s="1">
        <f>H29*H$1</f>
        <v>1024</v>
      </c>
      <c r="X29" s="1">
        <f>I29*I$1</f>
        <v>0</v>
      </c>
      <c r="Y29" s="1">
        <f>J29*J$1</f>
        <v>256</v>
      </c>
      <c r="Z29" s="1">
        <f>K29*K$1</f>
        <v>0</v>
      </c>
      <c r="AA29" s="1">
        <f>L29*L$1</f>
        <v>0</v>
      </c>
      <c r="AB29" s="1">
        <f>M29*M$1</f>
        <v>0</v>
      </c>
      <c r="AC29" s="1">
        <f>N29*N$1</f>
        <v>16</v>
      </c>
      <c r="AD29" s="1">
        <f>O29*O$1</f>
        <v>0</v>
      </c>
      <c r="AE29" s="1">
        <f>P29*P$1</f>
        <v>0</v>
      </c>
      <c r="AF29" s="1">
        <f>SUM(Q29:AE29)</f>
        <v>1296</v>
      </c>
      <c r="AG29" s="1" t="str">
        <f>DEC2HEX(AF29)</f>
        <v>510</v>
      </c>
    </row>
    <row r="30" spans="1:33" x14ac:dyDescent="0.4">
      <c r="A30" s="1" t="s">
        <v>13</v>
      </c>
      <c r="H30" s="1">
        <v>1</v>
      </c>
      <c r="I30" s="1">
        <v>1</v>
      </c>
      <c r="Q30" s="1">
        <f>B30*B$1</f>
        <v>0</v>
      </c>
      <c r="R30" s="1">
        <f>C30*C$1</f>
        <v>0</v>
      </c>
      <c r="S30" s="1">
        <f>D30*D$1</f>
        <v>0</v>
      </c>
      <c r="T30" s="1">
        <f>E30*E$1</f>
        <v>0</v>
      </c>
      <c r="U30" s="1">
        <f>F30*F$1</f>
        <v>0</v>
      </c>
      <c r="V30" s="1">
        <f>G30*G$1</f>
        <v>0</v>
      </c>
      <c r="W30" s="1">
        <f>H30*H$1</f>
        <v>1024</v>
      </c>
      <c r="X30" s="1">
        <f>I30*I$1</f>
        <v>512</v>
      </c>
      <c r="Y30" s="1">
        <f>J30*J$1</f>
        <v>0</v>
      </c>
      <c r="Z30" s="1">
        <f>K30*K$1</f>
        <v>0</v>
      </c>
      <c r="AA30" s="1">
        <f>L30*L$1</f>
        <v>0</v>
      </c>
      <c r="AB30" s="1">
        <f>M30*M$1</f>
        <v>0</v>
      </c>
      <c r="AC30" s="1">
        <f>N30*N$1</f>
        <v>0</v>
      </c>
      <c r="AD30" s="1">
        <f>O30*O$1</f>
        <v>0</v>
      </c>
      <c r="AE30" s="1">
        <f>P30*P$1</f>
        <v>0</v>
      </c>
      <c r="AF30" s="1">
        <f>SUM(Q30:AE30)</f>
        <v>1536</v>
      </c>
      <c r="AG30" s="1" t="str">
        <f>DEC2HEX(AF30)</f>
        <v>600</v>
      </c>
    </row>
    <row r="31" spans="1:33" x14ac:dyDescent="0.4">
      <c r="A31" s="1" t="s">
        <v>100</v>
      </c>
      <c r="H31" s="1">
        <v>1</v>
      </c>
      <c r="I31" s="1">
        <v>1</v>
      </c>
      <c r="J31" s="1">
        <v>1</v>
      </c>
      <c r="Q31" s="1">
        <f>B31*B$1</f>
        <v>0</v>
      </c>
      <c r="R31" s="1">
        <f>C31*C$1</f>
        <v>0</v>
      </c>
      <c r="S31" s="1">
        <f>D31*D$1</f>
        <v>0</v>
      </c>
      <c r="T31" s="1">
        <f>E31*E$1</f>
        <v>0</v>
      </c>
      <c r="U31" s="1">
        <f>F31*F$1</f>
        <v>0</v>
      </c>
      <c r="V31" s="1">
        <f>G31*G$1</f>
        <v>0</v>
      </c>
      <c r="W31" s="1">
        <f>H31*H$1</f>
        <v>1024</v>
      </c>
      <c r="X31" s="1">
        <f>I31*I$1</f>
        <v>512</v>
      </c>
      <c r="Y31" s="1">
        <f>J31*J$1</f>
        <v>256</v>
      </c>
      <c r="Z31" s="1">
        <f>K31*K$1</f>
        <v>0</v>
      </c>
      <c r="AA31" s="1">
        <f>L31*L$1</f>
        <v>0</v>
      </c>
      <c r="AB31" s="1">
        <f>M31*M$1</f>
        <v>0</v>
      </c>
      <c r="AC31" s="1">
        <f>N31*N$1</f>
        <v>0</v>
      </c>
      <c r="AD31" s="1">
        <f>O31*O$1</f>
        <v>0</v>
      </c>
      <c r="AE31" s="1">
        <f>P31*P$1</f>
        <v>0</v>
      </c>
      <c r="AF31" s="1">
        <f>SUM(Q31:AE31)</f>
        <v>1792</v>
      </c>
      <c r="AG31" s="1" t="str">
        <f>DEC2HEX(AF31)</f>
        <v>700</v>
      </c>
    </row>
    <row r="32" spans="1:33" x14ac:dyDescent="0.4">
      <c r="A32" s="2" t="s">
        <v>16</v>
      </c>
      <c r="B32" s="2"/>
      <c r="C32" s="2"/>
      <c r="D32" s="2"/>
      <c r="E32" s="2"/>
      <c r="F32" s="2"/>
      <c r="G32" s="2"/>
      <c r="H32" s="2">
        <v>1</v>
      </c>
      <c r="I32" s="2">
        <v>1</v>
      </c>
      <c r="J32" s="2">
        <v>1</v>
      </c>
      <c r="K32" s="2"/>
      <c r="L32" s="2"/>
      <c r="M32" s="2">
        <v>1</v>
      </c>
      <c r="N32" s="2"/>
      <c r="O32" s="2"/>
      <c r="P32" s="2"/>
      <c r="Q32" s="2">
        <f>B32*B$1</f>
        <v>0</v>
      </c>
      <c r="R32" s="2">
        <f>C32*C$1</f>
        <v>0</v>
      </c>
      <c r="S32" s="2">
        <f>D32*D$1</f>
        <v>0</v>
      </c>
      <c r="T32" s="2">
        <f>E32*E$1</f>
        <v>0</v>
      </c>
      <c r="U32" s="2">
        <f>F32*F$1</f>
        <v>0</v>
      </c>
      <c r="V32" s="2">
        <f>G32*G$1</f>
        <v>0</v>
      </c>
      <c r="W32" s="2">
        <f>H32*H$1</f>
        <v>1024</v>
      </c>
      <c r="X32" s="2">
        <f>I32*I$1</f>
        <v>512</v>
      </c>
      <c r="Y32" s="2">
        <f>J32*J$1</f>
        <v>256</v>
      </c>
      <c r="Z32" s="2">
        <f>K32*K$1</f>
        <v>0</v>
      </c>
      <c r="AA32" s="2">
        <f>L32*L$1</f>
        <v>0</v>
      </c>
      <c r="AB32" s="2">
        <f>M32*M$1</f>
        <v>32</v>
      </c>
      <c r="AC32" s="2">
        <f>N32*N$1</f>
        <v>0</v>
      </c>
      <c r="AD32" s="2">
        <f>O32*O$1</f>
        <v>0</v>
      </c>
      <c r="AE32" s="2">
        <f>P32*P$1</f>
        <v>0</v>
      </c>
      <c r="AF32" s="2">
        <f>SUM(Q32:AE32)</f>
        <v>1824</v>
      </c>
      <c r="AG32" s="2" t="str">
        <f>DEC2HEX(AF32)</f>
        <v>720</v>
      </c>
    </row>
    <row r="33" spans="1:33" x14ac:dyDescent="0.4">
      <c r="A33" s="1" t="s">
        <v>5</v>
      </c>
      <c r="G33" s="1">
        <v>1</v>
      </c>
      <c r="Q33" s="1">
        <f>B33*B$1</f>
        <v>0</v>
      </c>
      <c r="R33" s="1">
        <f>C33*C$1</f>
        <v>0</v>
      </c>
      <c r="S33" s="1">
        <f>D33*D$1</f>
        <v>0</v>
      </c>
      <c r="T33" s="1">
        <f>E33*E$1</f>
        <v>0</v>
      </c>
      <c r="U33" s="1">
        <f>F33*F$1</f>
        <v>0</v>
      </c>
      <c r="V33" s="1">
        <f>G33*G$1</f>
        <v>2048</v>
      </c>
      <c r="W33" s="1">
        <f>H33*H$1</f>
        <v>0</v>
      </c>
      <c r="X33" s="1">
        <f>I33*I$1</f>
        <v>0</v>
      </c>
      <c r="Y33" s="1">
        <f>J33*J$1</f>
        <v>0</v>
      </c>
      <c r="Z33" s="1">
        <f>K33*K$1</f>
        <v>0</v>
      </c>
      <c r="AA33" s="1">
        <f>L33*L$1</f>
        <v>0</v>
      </c>
      <c r="AB33" s="1">
        <f>M33*M$1</f>
        <v>0</v>
      </c>
      <c r="AC33" s="1">
        <f>N33*N$1</f>
        <v>0</v>
      </c>
      <c r="AD33" s="1">
        <f>O33*O$1</f>
        <v>0</v>
      </c>
      <c r="AE33" s="1">
        <f>P33*P$1</f>
        <v>0</v>
      </c>
      <c r="AF33" s="1">
        <f>SUM(Q33:AE33)</f>
        <v>2048</v>
      </c>
      <c r="AG33" s="1" t="str">
        <f>DEC2HEX(AF33)</f>
        <v>800</v>
      </c>
    </row>
    <row r="34" spans="1:33" x14ac:dyDescent="0.4">
      <c r="A34" s="1" t="s">
        <v>41</v>
      </c>
      <c r="B34" s="1">
        <v>1</v>
      </c>
      <c r="F34" s="1">
        <v>1</v>
      </c>
      <c r="Q34" s="1">
        <f>B34*B$1</f>
        <v>1</v>
      </c>
      <c r="R34" s="1">
        <f>C34*C$1</f>
        <v>0</v>
      </c>
      <c r="S34" s="1">
        <f>D34*D$1</f>
        <v>0</v>
      </c>
      <c r="T34" s="1">
        <f>E34*E$1</f>
        <v>0</v>
      </c>
      <c r="U34" s="1">
        <f>F34*F$1</f>
        <v>4096</v>
      </c>
      <c r="V34" s="1">
        <f>G34*G$1</f>
        <v>0</v>
      </c>
      <c r="W34" s="1">
        <f>H34*H$1</f>
        <v>0</v>
      </c>
      <c r="X34" s="1">
        <f>I34*I$1</f>
        <v>0</v>
      </c>
      <c r="Y34" s="1">
        <f>J34*J$1</f>
        <v>0</v>
      </c>
      <c r="Z34" s="1">
        <f>K34*K$1</f>
        <v>0</v>
      </c>
      <c r="AA34" s="1">
        <f>L34*L$1</f>
        <v>0</v>
      </c>
      <c r="AB34" s="1">
        <f>M34*M$1</f>
        <v>0</v>
      </c>
      <c r="AC34" s="1">
        <f>N34*N$1</f>
        <v>0</v>
      </c>
      <c r="AD34" s="1">
        <f>O34*O$1</f>
        <v>0</v>
      </c>
      <c r="AE34" s="1">
        <f>P34*P$1</f>
        <v>0</v>
      </c>
      <c r="AF34" s="1">
        <f>SUM(Q34:AE34)</f>
        <v>4097</v>
      </c>
      <c r="AG34" s="1" t="str">
        <f>DEC2HEX(AF34)</f>
        <v>1001</v>
      </c>
    </row>
    <row r="35" spans="1:33" x14ac:dyDescent="0.4">
      <c r="A35" s="1" t="s">
        <v>44</v>
      </c>
      <c r="B35" s="1">
        <v>2</v>
      </c>
      <c r="F35" s="1">
        <v>1</v>
      </c>
      <c r="Q35" s="1">
        <f>B35*B$1</f>
        <v>2</v>
      </c>
      <c r="R35" s="1">
        <f>C35*C$1</f>
        <v>0</v>
      </c>
      <c r="S35" s="1">
        <f>D35*D$1</f>
        <v>0</v>
      </c>
      <c r="T35" s="1">
        <f>E35*E$1</f>
        <v>0</v>
      </c>
      <c r="U35" s="1">
        <f>F35*F$1</f>
        <v>4096</v>
      </c>
      <c r="V35" s="1">
        <f>G35*G$1</f>
        <v>0</v>
      </c>
      <c r="W35" s="1">
        <f>H35*H$1</f>
        <v>0</v>
      </c>
      <c r="X35" s="1">
        <f>I35*I$1</f>
        <v>0</v>
      </c>
      <c r="Y35" s="1">
        <f>J35*J$1</f>
        <v>0</v>
      </c>
      <c r="Z35" s="1">
        <f>K35*K$1</f>
        <v>0</v>
      </c>
      <c r="AA35" s="1">
        <f>L35*L$1</f>
        <v>0</v>
      </c>
      <c r="AB35" s="1">
        <f>M35*M$1</f>
        <v>0</v>
      </c>
      <c r="AC35" s="1">
        <f>N35*N$1</f>
        <v>0</v>
      </c>
      <c r="AD35" s="1">
        <f>O35*O$1</f>
        <v>0</v>
      </c>
      <c r="AE35" s="1">
        <f>P35*P$1</f>
        <v>0</v>
      </c>
      <c r="AF35" s="1">
        <f>SUM(Q35:AE35)</f>
        <v>4098</v>
      </c>
      <c r="AG35" s="1" t="str">
        <f>DEC2HEX(AF35)</f>
        <v>1002</v>
      </c>
    </row>
    <row r="36" spans="1:33" x14ac:dyDescent="0.4">
      <c r="A36" s="1" t="s">
        <v>4</v>
      </c>
      <c r="F36" s="1">
        <v>1</v>
      </c>
      <c r="G36" s="1">
        <v>1</v>
      </c>
      <c r="Q36" s="1">
        <f>B36*B$1</f>
        <v>0</v>
      </c>
      <c r="R36" s="1">
        <f>C36*C$1</f>
        <v>0</v>
      </c>
      <c r="S36" s="1">
        <f>D36*D$1</f>
        <v>0</v>
      </c>
      <c r="T36" s="1">
        <f>E36*E$1</f>
        <v>0</v>
      </c>
      <c r="U36" s="1">
        <f>F36*F$1</f>
        <v>4096</v>
      </c>
      <c r="V36" s="1">
        <f>G36*G$1</f>
        <v>2048</v>
      </c>
      <c r="W36" s="1">
        <f>H36*H$1</f>
        <v>0</v>
      </c>
      <c r="X36" s="1">
        <f>I36*I$1</f>
        <v>0</v>
      </c>
      <c r="Y36" s="1">
        <f>J36*J$1</f>
        <v>0</v>
      </c>
      <c r="Z36" s="1">
        <f>K36*K$1</f>
        <v>0</v>
      </c>
      <c r="AA36" s="1">
        <f>L36*L$1</f>
        <v>0</v>
      </c>
      <c r="AB36" s="1">
        <f>M36*M$1</f>
        <v>0</v>
      </c>
      <c r="AC36" s="1">
        <f>N36*N$1</f>
        <v>0</v>
      </c>
      <c r="AD36" s="1">
        <f>O36*O$1</f>
        <v>0</v>
      </c>
      <c r="AE36" s="1">
        <f>P36*P$1</f>
        <v>0</v>
      </c>
      <c r="AF36" s="1">
        <f>SUM(Q36:AE36)</f>
        <v>6144</v>
      </c>
      <c r="AG36" s="1" t="str">
        <f>DEC2HEX(AF36)</f>
        <v>1800</v>
      </c>
    </row>
    <row r="37" spans="1:33" s="2" customFormat="1" x14ac:dyDescent="0.4">
      <c r="A37" s="2" t="s">
        <v>40</v>
      </c>
      <c r="B37" s="2">
        <v>1</v>
      </c>
      <c r="E37" s="2">
        <v>1</v>
      </c>
      <c r="Q37" s="2">
        <f>B37*B$1</f>
        <v>1</v>
      </c>
      <c r="R37" s="2">
        <f>C37*C$1</f>
        <v>0</v>
      </c>
      <c r="S37" s="2">
        <f>D37*D$1</f>
        <v>0</v>
      </c>
      <c r="T37" s="2">
        <f>E37*E$1</f>
        <v>8192</v>
      </c>
      <c r="U37" s="2">
        <f>F37*F$1</f>
        <v>0</v>
      </c>
      <c r="V37" s="2">
        <f>G37*G$1</f>
        <v>0</v>
      </c>
      <c r="W37" s="2">
        <f>H37*H$1</f>
        <v>0</v>
      </c>
      <c r="X37" s="2">
        <f>I37*I$1</f>
        <v>0</v>
      </c>
      <c r="Y37" s="2">
        <f>J37*J$1</f>
        <v>0</v>
      </c>
      <c r="Z37" s="2">
        <f>K37*K$1</f>
        <v>0</v>
      </c>
      <c r="AA37" s="2">
        <f>L37*L$1</f>
        <v>0</v>
      </c>
      <c r="AB37" s="2">
        <f>M37*M$1</f>
        <v>0</v>
      </c>
      <c r="AC37" s="2">
        <f>N37*N$1</f>
        <v>0</v>
      </c>
      <c r="AD37" s="2">
        <f>O37*O$1</f>
        <v>0</v>
      </c>
      <c r="AE37" s="2">
        <f>P37*P$1</f>
        <v>0</v>
      </c>
      <c r="AF37" s="2">
        <f>SUM(Q37:AE37)</f>
        <v>8193</v>
      </c>
      <c r="AG37" s="2" t="str">
        <f>DEC2HEX(AF37)</f>
        <v>2001</v>
      </c>
    </row>
    <row r="38" spans="1:33" s="2" customFormat="1" x14ac:dyDescent="0.4">
      <c r="A38" s="2" t="s">
        <v>43</v>
      </c>
      <c r="B38" s="2">
        <v>2</v>
      </c>
      <c r="E38" s="2">
        <v>1</v>
      </c>
      <c r="Q38" s="2">
        <f>B38*B$1</f>
        <v>2</v>
      </c>
      <c r="R38" s="2">
        <f>C38*C$1</f>
        <v>0</v>
      </c>
      <c r="S38" s="2">
        <f>D38*D$1</f>
        <v>0</v>
      </c>
      <c r="T38" s="2">
        <f>E38*E$1</f>
        <v>8192</v>
      </c>
      <c r="U38" s="2">
        <f>F38*F$1</f>
        <v>0</v>
      </c>
      <c r="V38" s="2">
        <f>G38*G$1</f>
        <v>0</v>
      </c>
      <c r="W38" s="2">
        <f>H38*H$1</f>
        <v>0</v>
      </c>
      <c r="X38" s="2">
        <f>I38*I$1</f>
        <v>0</v>
      </c>
      <c r="Y38" s="2">
        <f>J38*J$1</f>
        <v>0</v>
      </c>
      <c r="Z38" s="2">
        <f>K38*K$1</f>
        <v>0</v>
      </c>
      <c r="AA38" s="2">
        <f>L38*L$1</f>
        <v>0</v>
      </c>
      <c r="AB38" s="2">
        <f>M38*M$1</f>
        <v>0</v>
      </c>
      <c r="AC38" s="2">
        <f>N38*N$1</f>
        <v>0</v>
      </c>
      <c r="AD38" s="2">
        <f>O38*O$1</f>
        <v>0</v>
      </c>
      <c r="AE38" s="2">
        <f>P38*P$1</f>
        <v>0</v>
      </c>
      <c r="AF38" s="2">
        <f>SUM(Q38:AE38)</f>
        <v>8194</v>
      </c>
      <c r="AG38" s="2" t="str">
        <f>DEC2HEX(AF38)</f>
        <v>2002</v>
      </c>
    </row>
    <row r="39" spans="1:33" s="2" customFormat="1" x14ac:dyDescent="0.4">
      <c r="A39" s="2" t="s">
        <v>42</v>
      </c>
      <c r="B39" s="2">
        <v>1</v>
      </c>
      <c r="E39" s="2">
        <v>1</v>
      </c>
      <c r="F39" s="2">
        <v>1</v>
      </c>
      <c r="Q39" s="2">
        <f>B39*B$1</f>
        <v>1</v>
      </c>
      <c r="R39" s="2">
        <f>C39*C$1</f>
        <v>0</v>
      </c>
      <c r="S39" s="2">
        <f>D39*D$1</f>
        <v>0</v>
      </c>
      <c r="T39" s="2">
        <f>E39*E$1</f>
        <v>8192</v>
      </c>
      <c r="U39" s="2">
        <f>F39*F$1</f>
        <v>4096</v>
      </c>
      <c r="V39" s="2">
        <f>G39*G$1</f>
        <v>0</v>
      </c>
      <c r="W39" s="2">
        <f>H39*H$1</f>
        <v>0</v>
      </c>
      <c r="X39" s="2">
        <f>I39*I$1</f>
        <v>0</v>
      </c>
      <c r="Y39" s="2">
        <f>J39*J$1</f>
        <v>0</v>
      </c>
      <c r="Z39" s="2">
        <f>K39*K$1</f>
        <v>0</v>
      </c>
      <c r="AA39" s="2">
        <f>L39*L$1</f>
        <v>0</v>
      </c>
      <c r="AB39" s="2">
        <f>M39*M$1</f>
        <v>0</v>
      </c>
      <c r="AC39" s="2">
        <f>N39*N$1</f>
        <v>0</v>
      </c>
      <c r="AD39" s="2">
        <f>O39*O$1</f>
        <v>0</v>
      </c>
      <c r="AE39" s="2">
        <f>P39*P$1</f>
        <v>0</v>
      </c>
      <c r="AF39" s="2">
        <f>SUM(Q39:AE39)</f>
        <v>12289</v>
      </c>
      <c r="AG39" s="2" t="str">
        <f>DEC2HEX(AF39)</f>
        <v>3001</v>
      </c>
    </row>
    <row r="40" spans="1:33" s="2" customFormat="1" x14ac:dyDescent="0.4">
      <c r="A40" s="2" t="s">
        <v>45</v>
      </c>
      <c r="B40" s="2">
        <v>2</v>
      </c>
      <c r="E40" s="2">
        <v>1</v>
      </c>
      <c r="F40" s="2">
        <v>1</v>
      </c>
      <c r="Q40" s="2">
        <f>B40*B$1</f>
        <v>2</v>
      </c>
      <c r="R40" s="2">
        <f>C40*C$1</f>
        <v>0</v>
      </c>
      <c r="S40" s="2">
        <f>D40*D$1</f>
        <v>0</v>
      </c>
      <c r="T40" s="2">
        <f>E40*E$1</f>
        <v>8192</v>
      </c>
      <c r="U40" s="2">
        <f>F40*F$1</f>
        <v>4096</v>
      </c>
      <c r="V40" s="2">
        <f>G40*G$1</f>
        <v>0</v>
      </c>
      <c r="W40" s="2">
        <f>H40*H$1</f>
        <v>0</v>
      </c>
      <c r="X40" s="2">
        <f>I40*I$1</f>
        <v>0</v>
      </c>
      <c r="Y40" s="2">
        <f>J40*J$1</f>
        <v>0</v>
      </c>
      <c r="Z40" s="2">
        <f>K40*K$1</f>
        <v>0</v>
      </c>
      <c r="AA40" s="2">
        <f>L40*L$1</f>
        <v>0</v>
      </c>
      <c r="AB40" s="2">
        <f>M40*M$1</f>
        <v>0</v>
      </c>
      <c r="AC40" s="2">
        <f>N40*N$1</f>
        <v>0</v>
      </c>
      <c r="AD40" s="2">
        <f>O40*O$1</f>
        <v>0</v>
      </c>
      <c r="AE40" s="2">
        <f>P40*P$1</f>
        <v>0</v>
      </c>
      <c r="AF40" s="2">
        <f>SUM(Q40:AE40)</f>
        <v>12290</v>
      </c>
      <c r="AG40" s="2" t="str">
        <f>DEC2HEX(AF40)</f>
        <v>3002</v>
      </c>
    </row>
    <row r="41" spans="1:33" s="2" customFormat="1" x14ac:dyDescent="0.4">
      <c r="A41" s="2" t="s">
        <v>46</v>
      </c>
      <c r="B41" s="2">
        <v>3</v>
      </c>
      <c r="E41" s="2">
        <v>1</v>
      </c>
      <c r="F41" s="2">
        <v>1</v>
      </c>
      <c r="Q41" s="2">
        <f>B41*B$1</f>
        <v>3</v>
      </c>
      <c r="R41" s="2">
        <f>C41*C$1</f>
        <v>0</v>
      </c>
      <c r="S41" s="2">
        <f>D41*D$1</f>
        <v>0</v>
      </c>
      <c r="T41" s="2">
        <f>E41*E$1</f>
        <v>8192</v>
      </c>
      <c r="U41" s="2">
        <f>F41*F$1</f>
        <v>4096</v>
      </c>
      <c r="V41" s="2">
        <f>G41*G$1</f>
        <v>0</v>
      </c>
      <c r="W41" s="2">
        <f>H41*H$1</f>
        <v>0</v>
      </c>
      <c r="X41" s="2">
        <f>I41*I$1</f>
        <v>0</v>
      </c>
      <c r="Y41" s="2">
        <f>J41*J$1</f>
        <v>0</v>
      </c>
      <c r="Z41" s="2">
        <f>K41*K$1</f>
        <v>0</v>
      </c>
      <c r="AA41" s="2">
        <f>L41*L$1</f>
        <v>0</v>
      </c>
      <c r="AB41" s="2">
        <f>M41*M$1</f>
        <v>0</v>
      </c>
      <c r="AC41" s="2">
        <f>N41*N$1</f>
        <v>0</v>
      </c>
      <c r="AD41" s="2">
        <f>O41*O$1</f>
        <v>0</v>
      </c>
      <c r="AE41" s="2">
        <f>P41*P$1</f>
        <v>0</v>
      </c>
      <c r="AF41" s="2">
        <f>SUM(Q41:AE41)</f>
        <v>12291</v>
      </c>
      <c r="AG41" s="2" t="str">
        <f>DEC2HEX(AF41)</f>
        <v>3003</v>
      </c>
    </row>
    <row r="42" spans="1:33" x14ac:dyDescent="0.4">
      <c r="A42" s="1" t="s">
        <v>2</v>
      </c>
      <c r="B42" s="1">
        <v>2</v>
      </c>
      <c r="D42" s="1">
        <v>1</v>
      </c>
      <c r="Q42" s="1">
        <f>B42*B$1</f>
        <v>2</v>
      </c>
      <c r="R42" s="1">
        <f>C42*C$1</f>
        <v>0</v>
      </c>
      <c r="S42" s="1">
        <f>D42*D$1</f>
        <v>16384</v>
      </c>
      <c r="T42" s="1">
        <f>E42*E$1</f>
        <v>0</v>
      </c>
      <c r="U42" s="1">
        <f>F42*F$1</f>
        <v>0</v>
      </c>
      <c r="V42" s="1">
        <f>G42*G$1</f>
        <v>0</v>
      </c>
      <c r="W42" s="1">
        <f>H42*H$1</f>
        <v>0</v>
      </c>
      <c r="X42" s="1">
        <f>I42*I$1</f>
        <v>0</v>
      </c>
      <c r="Y42" s="1">
        <f>J42*J$1</f>
        <v>0</v>
      </c>
      <c r="Z42" s="1">
        <f>K42*K$1</f>
        <v>0</v>
      </c>
      <c r="AA42" s="1">
        <f>L42*L$1</f>
        <v>0</v>
      </c>
      <c r="AB42" s="1">
        <f>M42*M$1</f>
        <v>0</v>
      </c>
      <c r="AC42" s="1">
        <f>N42*N$1</f>
        <v>0</v>
      </c>
      <c r="AD42" s="1">
        <f>O42*O$1</f>
        <v>0</v>
      </c>
      <c r="AE42" s="1">
        <f>P42*P$1</f>
        <v>0</v>
      </c>
      <c r="AF42" s="1">
        <f>SUM(Q42:AE42)</f>
        <v>16386</v>
      </c>
      <c r="AG42" s="1" t="str">
        <f>DEC2HEX(AF42)</f>
        <v>4002</v>
      </c>
    </row>
    <row r="43" spans="1:33" x14ac:dyDescent="0.4">
      <c r="A43" s="1" t="s">
        <v>3</v>
      </c>
      <c r="B43" s="1">
        <v>2</v>
      </c>
      <c r="D43" s="1">
        <v>1</v>
      </c>
      <c r="E43" s="1">
        <v>1</v>
      </c>
      <c r="Q43" s="1">
        <f>B43*B$1</f>
        <v>2</v>
      </c>
      <c r="R43" s="1">
        <f>C43*C$1</f>
        <v>0</v>
      </c>
      <c r="S43" s="1">
        <f>D43*D$1</f>
        <v>16384</v>
      </c>
      <c r="T43" s="1">
        <f>E43*E$1</f>
        <v>8192</v>
      </c>
      <c r="U43" s="1">
        <f>F43*F$1</f>
        <v>0</v>
      </c>
      <c r="V43" s="1">
        <f>G43*G$1</f>
        <v>0</v>
      </c>
      <c r="W43" s="1">
        <f>H43*H$1</f>
        <v>0</v>
      </c>
      <c r="X43" s="1">
        <f>I43*I$1</f>
        <v>0</v>
      </c>
      <c r="Y43" s="1">
        <f>J43*J$1</f>
        <v>0</v>
      </c>
      <c r="Z43" s="1">
        <f>K43*K$1</f>
        <v>0</v>
      </c>
      <c r="AA43" s="1">
        <f>L43*L$1</f>
        <v>0</v>
      </c>
      <c r="AB43" s="1">
        <f>M43*M$1</f>
        <v>0</v>
      </c>
      <c r="AC43" s="1">
        <f>N43*N$1</f>
        <v>0</v>
      </c>
      <c r="AD43" s="1">
        <f>O43*O$1</f>
        <v>0</v>
      </c>
      <c r="AE43" s="1">
        <f>P43*P$1</f>
        <v>0</v>
      </c>
      <c r="AF43" s="1">
        <f>SUM(Q43:AE43)</f>
        <v>24578</v>
      </c>
      <c r="AG43" s="1" t="str">
        <f>DEC2HEX(AF43)</f>
        <v>6002</v>
      </c>
    </row>
    <row r="44" spans="1:33" x14ac:dyDescent="0.4">
      <c r="A44" s="1" t="s">
        <v>76</v>
      </c>
      <c r="B44" s="1">
        <v>3</v>
      </c>
      <c r="D44" s="1">
        <v>1</v>
      </c>
      <c r="E44" s="1">
        <v>1</v>
      </c>
      <c r="Q44" s="1">
        <f>B44*B$1</f>
        <v>3</v>
      </c>
      <c r="R44" s="1">
        <f>C44*C$1</f>
        <v>0</v>
      </c>
      <c r="S44" s="1">
        <f>D44*D$1</f>
        <v>16384</v>
      </c>
      <c r="T44" s="1">
        <f>E44*E$1</f>
        <v>8192</v>
      </c>
      <c r="U44" s="1">
        <f>F44*F$1</f>
        <v>0</v>
      </c>
      <c r="V44" s="1">
        <f>G44*G$1</f>
        <v>0</v>
      </c>
      <c r="W44" s="1">
        <f>H44*H$1</f>
        <v>0</v>
      </c>
      <c r="X44" s="1">
        <f>I44*I$1</f>
        <v>0</v>
      </c>
      <c r="Y44" s="1">
        <f>J44*J$1</f>
        <v>0</v>
      </c>
      <c r="Z44" s="1">
        <f>K44*K$1</f>
        <v>0</v>
      </c>
      <c r="AA44" s="1">
        <f>L44*L$1</f>
        <v>0</v>
      </c>
      <c r="AB44" s="1">
        <f>M44*M$1</f>
        <v>0</v>
      </c>
      <c r="AC44" s="1">
        <f>N44*N$1</f>
        <v>0</v>
      </c>
      <c r="AD44" s="1">
        <f>O44*O$1</f>
        <v>0</v>
      </c>
      <c r="AE44" s="1">
        <f>P44*P$1</f>
        <v>0</v>
      </c>
      <c r="AF44" s="1">
        <f>SUM(Q44:AE44)</f>
        <v>24579</v>
      </c>
      <c r="AG44" s="1" t="str">
        <f>DEC2HEX(AF44)</f>
        <v>6003</v>
      </c>
    </row>
    <row r="45" spans="1:33" x14ac:dyDescent="0.4">
      <c r="A45" s="1" t="s">
        <v>59</v>
      </c>
      <c r="B45" s="1">
        <v>1</v>
      </c>
      <c r="C45" s="1">
        <v>1</v>
      </c>
      <c r="Q45" s="1">
        <f>B45*B$1</f>
        <v>1</v>
      </c>
      <c r="R45" s="1">
        <f>C45*C$1</f>
        <v>32768</v>
      </c>
      <c r="S45" s="1">
        <f>D45*D$1</f>
        <v>0</v>
      </c>
      <c r="T45" s="1">
        <f>E45*E$1</f>
        <v>0</v>
      </c>
      <c r="U45" s="1">
        <f>F45*F$1</f>
        <v>0</v>
      </c>
      <c r="V45" s="1">
        <f>G45*G$1</f>
        <v>0</v>
      </c>
      <c r="W45" s="1">
        <f>H45*H$1</f>
        <v>0</v>
      </c>
      <c r="X45" s="1">
        <f>I45*I$1</f>
        <v>0</v>
      </c>
      <c r="Y45" s="1">
        <f>J45*J$1</f>
        <v>0</v>
      </c>
      <c r="Z45" s="1">
        <f>K45*K$1</f>
        <v>0</v>
      </c>
      <c r="AA45" s="1">
        <f>L45*L$1</f>
        <v>0</v>
      </c>
      <c r="AB45" s="1">
        <f>M45*M$1</f>
        <v>0</v>
      </c>
      <c r="AC45" s="1">
        <f>N45*N$1</f>
        <v>0</v>
      </c>
      <c r="AD45" s="1">
        <f>O45*O$1</f>
        <v>0</v>
      </c>
      <c r="AE45" s="1">
        <f>P45*P$1</f>
        <v>0</v>
      </c>
      <c r="AF45" s="1">
        <f>SUM(Q45:AE45)</f>
        <v>32769</v>
      </c>
      <c r="AG45" s="1" t="str">
        <f>DEC2HEX(AF45)</f>
        <v>8001</v>
      </c>
    </row>
    <row r="46" spans="1:33" x14ac:dyDescent="0.4">
      <c r="A46" s="1" t="s">
        <v>61</v>
      </c>
      <c r="B46" s="1">
        <v>2</v>
      </c>
      <c r="C46" s="1">
        <v>1</v>
      </c>
      <c r="Q46" s="1">
        <f>B46*B$1</f>
        <v>2</v>
      </c>
      <c r="R46" s="1">
        <f>C46*C$1</f>
        <v>32768</v>
      </c>
      <c r="S46" s="1">
        <f>D46*D$1</f>
        <v>0</v>
      </c>
      <c r="T46" s="1">
        <f>E46*E$1</f>
        <v>0</v>
      </c>
      <c r="U46" s="1">
        <f>F46*F$1</f>
        <v>0</v>
      </c>
      <c r="V46" s="1">
        <f>G46*G$1</f>
        <v>0</v>
      </c>
      <c r="W46" s="1">
        <f>H46*H$1</f>
        <v>0</v>
      </c>
      <c r="X46" s="1">
        <f>I46*I$1</f>
        <v>0</v>
      </c>
      <c r="Y46" s="1">
        <f>J46*J$1</f>
        <v>0</v>
      </c>
      <c r="Z46" s="1">
        <f>K46*K$1</f>
        <v>0</v>
      </c>
      <c r="AA46" s="1">
        <f>L46*L$1</f>
        <v>0</v>
      </c>
      <c r="AB46" s="1">
        <f>M46*M$1</f>
        <v>0</v>
      </c>
      <c r="AC46" s="1">
        <f>N46*N$1</f>
        <v>0</v>
      </c>
      <c r="AD46" s="1">
        <f>O46*O$1</f>
        <v>0</v>
      </c>
      <c r="AE46" s="1">
        <f>P46*P$1</f>
        <v>0</v>
      </c>
      <c r="AF46" s="1">
        <f>SUM(Q46:AE46)</f>
        <v>32770</v>
      </c>
      <c r="AG46" s="1" t="str">
        <f>DEC2HEX(AF46)</f>
        <v>8002</v>
      </c>
    </row>
    <row r="47" spans="1:33" x14ac:dyDescent="0.4">
      <c r="A47" s="1" t="s">
        <v>93</v>
      </c>
      <c r="B47" s="1">
        <v>3</v>
      </c>
      <c r="C47" s="1">
        <v>1</v>
      </c>
      <c r="Q47" s="1">
        <f>B47*B$1</f>
        <v>3</v>
      </c>
      <c r="R47" s="1">
        <f>C47*C$1</f>
        <v>32768</v>
      </c>
      <c r="S47" s="1">
        <f>D47*D$1</f>
        <v>0</v>
      </c>
      <c r="T47" s="1">
        <f>E47*E$1</f>
        <v>0</v>
      </c>
      <c r="U47" s="1">
        <f>F47*F$1</f>
        <v>0</v>
      </c>
      <c r="V47" s="1">
        <f>G47*G$1</f>
        <v>0</v>
      </c>
      <c r="W47" s="1">
        <f>H47*H$1</f>
        <v>0</v>
      </c>
      <c r="X47" s="1">
        <f>I47*I$1</f>
        <v>0</v>
      </c>
      <c r="Y47" s="1">
        <f>J47*J$1</f>
        <v>0</v>
      </c>
      <c r="Z47" s="1">
        <f>K47*K$1</f>
        <v>0</v>
      </c>
      <c r="AA47" s="1">
        <f>L47*L$1</f>
        <v>0</v>
      </c>
      <c r="AB47" s="1">
        <f>M47*M$1</f>
        <v>0</v>
      </c>
      <c r="AC47" s="1">
        <f>N47*N$1</f>
        <v>0</v>
      </c>
      <c r="AD47" s="1">
        <f>O47*O$1</f>
        <v>0</v>
      </c>
      <c r="AE47" s="1">
        <f>P47*P$1</f>
        <v>0</v>
      </c>
      <c r="AF47" s="1">
        <f>SUM(Q47:AE47)</f>
        <v>32771</v>
      </c>
      <c r="AG47" s="1" t="str">
        <f>DEC2HEX(AF47)</f>
        <v>8003</v>
      </c>
    </row>
    <row r="48" spans="1:33" x14ac:dyDescent="0.4">
      <c r="A48" s="1" t="s">
        <v>62</v>
      </c>
      <c r="B48" s="1">
        <v>4</v>
      </c>
      <c r="C48" s="1">
        <v>1</v>
      </c>
      <c r="Q48" s="1">
        <f>B48*B$1</f>
        <v>4</v>
      </c>
      <c r="R48" s="1">
        <f>C48*C$1</f>
        <v>32768</v>
      </c>
      <c r="S48" s="1">
        <f>D48*D$1</f>
        <v>0</v>
      </c>
      <c r="T48" s="1">
        <f>E48*E$1</f>
        <v>0</v>
      </c>
      <c r="U48" s="1">
        <f>F48*F$1</f>
        <v>0</v>
      </c>
      <c r="V48" s="1">
        <f>G48*G$1</f>
        <v>0</v>
      </c>
      <c r="W48" s="1">
        <f>H48*H$1</f>
        <v>0</v>
      </c>
      <c r="X48" s="1">
        <f>I48*I$1</f>
        <v>0</v>
      </c>
      <c r="Y48" s="1">
        <f>J48*J$1</f>
        <v>0</v>
      </c>
      <c r="Z48" s="1">
        <f>K48*K$1</f>
        <v>0</v>
      </c>
      <c r="AA48" s="1">
        <f>L48*L$1</f>
        <v>0</v>
      </c>
      <c r="AB48" s="1">
        <f>M48*M$1</f>
        <v>0</v>
      </c>
      <c r="AC48" s="1">
        <f>N48*N$1</f>
        <v>0</v>
      </c>
      <c r="AD48" s="1">
        <f>O48*O$1</f>
        <v>0</v>
      </c>
      <c r="AE48" s="1">
        <f>P48*P$1</f>
        <v>0</v>
      </c>
      <c r="AF48" s="1">
        <f>SUM(Q48:AE48)</f>
        <v>32772</v>
      </c>
      <c r="AG48" s="1" t="str">
        <f>DEC2HEX(AF48)</f>
        <v>8004</v>
      </c>
    </row>
    <row r="49" spans="1:33" x14ac:dyDescent="0.4">
      <c r="A49" s="1" t="s">
        <v>1</v>
      </c>
      <c r="B49" s="1">
        <v>5</v>
      </c>
      <c r="C49" s="1">
        <v>1</v>
      </c>
      <c r="Q49" s="1">
        <f>B49*B$1</f>
        <v>5</v>
      </c>
      <c r="R49" s="1">
        <f>C49*C$1</f>
        <v>32768</v>
      </c>
      <c r="S49" s="1">
        <f>D49*D$1</f>
        <v>0</v>
      </c>
      <c r="T49" s="1">
        <f>E49*E$1</f>
        <v>0</v>
      </c>
      <c r="U49" s="1">
        <f>F49*F$1</f>
        <v>0</v>
      </c>
      <c r="V49" s="1">
        <f>G49*G$1</f>
        <v>0</v>
      </c>
      <c r="W49" s="1">
        <f>H49*H$1</f>
        <v>0</v>
      </c>
      <c r="X49" s="1">
        <f>I49*I$1</f>
        <v>0</v>
      </c>
      <c r="Y49" s="1">
        <f>J49*J$1</f>
        <v>0</v>
      </c>
      <c r="Z49" s="1">
        <f>K49*K$1</f>
        <v>0</v>
      </c>
      <c r="AA49" s="1">
        <f>L49*L$1</f>
        <v>0</v>
      </c>
      <c r="AB49" s="1">
        <f>M49*M$1</f>
        <v>0</v>
      </c>
      <c r="AC49" s="1">
        <f>N49*N$1</f>
        <v>0</v>
      </c>
      <c r="AD49" s="1">
        <f>O49*O$1</f>
        <v>0</v>
      </c>
      <c r="AE49" s="1">
        <f>P49*P$1</f>
        <v>0</v>
      </c>
      <c r="AF49" s="1">
        <f>SUM(Q49:AE49)</f>
        <v>32773</v>
      </c>
      <c r="AG49" s="1" t="str">
        <f>DEC2HEX(AF49)</f>
        <v>8005</v>
      </c>
    </row>
    <row r="50" spans="1:33" x14ac:dyDescent="0.4">
      <c r="A50" s="1" t="s">
        <v>75</v>
      </c>
      <c r="B50" s="1">
        <v>6</v>
      </c>
      <c r="C50" s="1">
        <v>1</v>
      </c>
      <c r="Q50" s="1">
        <f>B50*B$1</f>
        <v>6</v>
      </c>
      <c r="R50" s="1">
        <f>C50*C$1</f>
        <v>32768</v>
      </c>
      <c r="S50" s="1">
        <f>D50*D$1</f>
        <v>0</v>
      </c>
      <c r="T50" s="1">
        <f>E50*E$1</f>
        <v>0</v>
      </c>
      <c r="U50" s="1">
        <f>F50*F$1</f>
        <v>0</v>
      </c>
      <c r="V50" s="1">
        <f>G50*G$1</f>
        <v>0</v>
      </c>
      <c r="W50" s="1">
        <f>H50*H$1</f>
        <v>0</v>
      </c>
      <c r="X50" s="1">
        <f>I50*I$1</f>
        <v>0</v>
      </c>
      <c r="Y50" s="1">
        <f>J50*J$1</f>
        <v>0</v>
      </c>
      <c r="Z50" s="1">
        <f>K50*K$1</f>
        <v>0</v>
      </c>
      <c r="AA50" s="1">
        <f>L50*L$1</f>
        <v>0</v>
      </c>
      <c r="AB50" s="1">
        <f>M50*M$1</f>
        <v>0</v>
      </c>
      <c r="AC50" s="1">
        <f>N50*N$1</f>
        <v>0</v>
      </c>
      <c r="AD50" s="1">
        <f>O50*O$1</f>
        <v>0</v>
      </c>
      <c r="AE50" s="1">
        <f>P50*P$1</f>
        <v>0</v>
      </c>
      <c r="AF50" s="1">
        <f>SUM(Q50:AE50)</f>
        <v>32774</v>
      </c>
      <c r="AG50" s="1" t="str">
        <f>DEC2HEX(AF50)</f>
        <v>8006</v>
      </c>
    </row>
    <row r="51" spans="1:33" x14ac:dyDescent="0.4">
      <c r="A51" s="1" t="s">
        <v>60</v>
      </c>
      <c r="B51" s="1">
        <v>1</v>
      </c>
      <c r="C51" s="1">
        <v>1</v>
      </c>
      <c r="E51" s="1">
        <v>1</v>
      </c>
      <c r="Q51" s="1">
        <f>B51*B$1</f>
        <v>1</v>
      </c>
      <c r="R51" s="1">
        <f>C51*C$1</f>
        <v>32768</v>
      </c>
      <c r="S51" s="1">
        <f>D51*D$1</f>
        <v>0</v>
      </c>
      <c r="T51" s="1">
        <f>E51*E$1</f>
        <v>8192</v>
      </c>
      <c r="U51" s="1">
        <f>F51*F$1</f>
        <v>0</v>
      </c>
      <c r="V51" s="1">
        <f>G51*G$1</f>
        <v>0</v>
      </c>
      <c r="W51" s="1">
        <f>H51*H$1</f>
        <v>0</v>
      </c>
      <c r="X51" s="1">
        <f>I51*I$1</f>
        <v>0</v>
      </c>
      <c r="Y51" s="1">
        <f>J51*J$1</f>
        <v>0</v>
      </c>
      <c r="Z51" s="1">
        <f>K51*K$1</f>
        <v>0</v>
      </c>
      <c r="AA51" s="1">
        <f>L51*L$1</f>
        <v>0</v>
      </c>
      <c r="AB51" s="1">
        <f>M51*M$1</f>
        <v>0</v>
      </c>
      <c r="AC51" s="1">
        <f>N51*N$1</f>
        <v>0</v>
      </c>
      <c r="AD51" s="1">
        <f>O51*O$1</f>
        <v>0</v>
      </c>
      <c r="AE51" s="1">
        <f>P51*P$1</f>
        <v>0</v>
      </c>
      <c r="AF51" s="1">
        <f>SUM(Q51:AE51)</f>
        <v>40961</v>
      </c>
      <c r="AG51" s="1" t="str">
        <f>DEC2HEX(AF51)</f>
        <v>A001</v>
      </c>
    </row>
    <row r="52" spans="1:33" x14ac:dyDescent="0.4">
      <c r="A52" s="1" t="s">
        <v>0</v>
      </c>
      <c r="B52" s="1">
        <v>2</v>
      </c>
      <c r="C52" s="1">
        <v>1</v>
      </c>
      <c r="E52" s="1">
        <v>1</v>
      </c>
      <c r="Q52" s="1">
        <f>B52*B$1</f>
        <v>2</v>
      </c>
      <c r="R52" s="1">
        <f>C52*C$1</f>
        <v>32768</v>
      </c>
      <c r="S52" s="1">
        <f>D52*D$1</f>
        <v>0</v>
      </c>
      <c r="T52" s="1">
        <f>E52*E$1</f>
        <v>8192</v>
      </c>
      <c r="U52" s="1">
        <f>F52*F$1</f>
        <v>0</v>
      </c>
      <c r="V52" s="1">
        <f>G52*G$1</f>
        <v>0</v>
      </c>
      <c r="W52" s="1">
        <f>H52*H$1</f>
        <v>0</v>
      </c>
      <c r="X52" s="1">
        <f>I52*I$1</f>
        <v>0</v>
      </c>
      <c r="Y52" s="1">
        <f>J52*J$1</f>
        <v>0</v>
      </c>
      <c r="Z52" s="1">
        <f>K52*K$1</f>
        <v>0</v>
      </c>
      <c r="AA52" s="1">
        <f>L52*L$1</f>
        <v>0</v>
      </c>
      <c r="AB52" s="1">
        <f>M52*M$1</f>
        <v>0</v>
      </c>
      <c r="AC52" s="1">
        <f>N52*N$1</f>
        <v>0</v>
      </c>
      <c r="AD52" s="1">
        <f>O52*O$1</f>
        <v>0</v>
      </c>
      <c r="AE52" s="1">
        <f>P52*P$1</f>
        <v>0</v>
      </c>
      <c r="AF52" s="1">
        <f>SUM(Q52:AE52)</f>
        <v>40962</v>
      </c>
      <c r="AG52" s="1" t="str">
        <f>DEC2HEX(AF52)</f>
        <v>A002</v>
      </c>
    </row>
    <row r="53" spans="1:33" x14ac:dyDescent="0.4">
      <c r="A53" s="1" t="s">
        <v>6</v>
      </c>
      <c r="P53" s="1">
        <v>1</v>
      </c>
      <c r="Q53" s="1">
        <f>B53*B$1</f>
        <v>0</v>
      </c>
      <c r="R53" s="1">
        <f>C53*C$1</f>
        <v>0</v>
      </c>
      <c r="S53" s="1">
        <f>D53*D$1</f>
        <v>0</v>
      </c>
      <c r="T53" s="1">
        <f>E53*E$1</f>
        <v>0</v>
      </c>
      <c r="U53" s="1">
        <f>F53*F$1</f>
        <v>0</v>
      </c>
      <c r="V53" s="1">
        <f>G53*G$1</f>
        <v>0</v>
      </c>
      <c r="W53" s="1">
        <f>H53*H$1</f>
        <v>0</v>
      </c>
      <c r="X53" s="1">
        <f>I53*I$1</f>
        <v>0</v>
      </c>
      <c r="Y53" s="1">
        <f>J53*J$1</f>
        <v>0</v>
      </c>
      <c r="Z53" s="1">
        <f>K53*K$1</f>
        <v>0</v>
      </c>
      <c r="AA53" s="1">
        <f>L53*L$1</f>
        <v>0</v>
      </c>
      <c r="AB53" s="1">
        <f>M53*M$1</f>
        <v>0</v>
      </c>
      <c r="AC53" s="1">
        <f>N53*N$1</f>
        <v>0</v>
      </c>
      <c r="AD53" s="1">
        <f>O53*O$1</f>
        <v>0</v>
      </c>
      <c r="AE53" s="1">
        <f>P53*P$1</f>
        <v>65536</v>
      </c>
      <c r="AF53" s="1">
        <f>SUM(Q53:AE53)</f>
        <v>65536</v>
      </c>
      <c r="AG53" s="1" t="str">
        <f>DEC2HEX(AF53)</f>
        <v>10000</v>
      </c>
    </row>
    <row r="54" spans="1:33" x14ac:dyDescent="0.4">
      <c r="A54" s="1" t="s">
        <v>30</v>
      </c>
      <c r="B54" s="1">
        <v>1</v>
      </c>
      <c r="P54" s="1">
        <v>2</v>
      </c>
      <c r="Q54" s="1">
        <f>B54*B$1</f>
        <v>1</v>
      </c>
      <c r="R54" s="1">
        <f>C54*C$1</f>
        <v>0</v>
      </c>
      <c r="S54" s="1">
        <f>D54*D$1</f>
        <v>0</v>
      </c>
      <c r="T54" s="1">
        <f>E54*E$1</f>
        <v>0</v>
      </c>
      <c r="U54" s="1">
        <f>F54*F$1</f>
        <v>0</v>
      </c>
      <c r="V54" s="1">
        <f>G54*G$1</f>
        <v>0</v>
      </c>
      <c r="W54" s="1">
        <f>H54*H$1</f>
        <v>0</v>
      </c>
      <c r="X54" s="1">
        <f>I54*I$1</f>
        <v>0</v>
      </c>
      <c r="Y54" s="1">
        <f>J54*J$1</f>
        <v>0</v>
      </c>
      <c r="Z54" s="1">
        <f>K54*K$1</f>
        <v>0</v>
      </c>
      <c r="AA54" s="1">
        <f>L54*L$1</f>
        <v>0</v>
      </c>
      <c r="AB54" s="1">
        <f>M54*M$1</f>
        <v>0</v>
      </c>
      <c r="AC54" s="1">
        <f>N54*N$1</f>
        <v>0</v>
      </c>
      <c r="AD54" s="1">
        <f>O54*O$1</f>
        <v>0</v>
      </c>
      <c r="AE54" s="1">
        <f>P54*P$1</f>
        <v>131072</v>
      </c>
      <c r="AF54" s="1">
        <f>SUM(Q54:AE54)</f>
        <v>131073</v>
      </c>
      <c r="AG54" s="1" t="str">
        <f>DEC2HEX(AF54)</f>
        <v>20001</v>
      </c>
    </row>
    <row r="55" spans="1:33" x14ac:dyDescent="0.4">
      <c r="A55" s="1" t="s">
        <v>29</v>
      </c>
      <c r="B55" s="1">
        <v>2</v>
      </c>
      <c r="P55" s="1">
        <v>2</v>
      </c>
      <c r="Q55" s="1">
        <f>B55*B$1</f>
        <v>2</v>
      </c>
      <c r="R55" s="1">
        <f>C55*C$1</f>
        <v>0</v>
      </c>
      <c r="S55" s="1">
        <f>D55*D$1</f>
        <v>0</v>
      </c>
      <c r="T55" s="1">
        <f>E55*E$1</f>
        <v>0</v>
      </c>
      <c r="U55" s="1">
        <f>F55*F$1</f>
        <v>0</v>
      </c>
      <c r="V55" s="1">
        <f>G55*G$1</f>
        <v>0</v>
      </c>
      <c r="W55" s="1">
        <f>H55*H$1</f>
        <v>0</v>
      </c>
      <c r="X55" s="1">
        <f>I55*I$1</f>
        <v>0</v>
      </c>
      <c r="Y55" s="1">
        <f>J55*J$1</f>
        <v>0</v>
      </c>
      <c r="Z55" s="1">
        <f>K55*K$1</f>
        <v>0</v>
      </c>
      <c r="AA55" s="1">
        <f>L55*L$1</f>
        <v>0</v>
      </c>
      <c r="AB55" s="1">
        <f>M55*M$1</f>
        <v>0</v>
      </c>
      <c r="AC55" s="1">
        <f>N55*N$1</f>
        <v>0</v>
      </c>
      <c r="AD55" s="1">
        <f>O55*O$1</f>
        <v>0</v>
      </c>
      <c r="AE55" s="1">
        <f>P55*P$1</f>
        <v>131072</v>
      </c>
      <c r="AF55" s="1">
        <f>SUM(Q55:AE55)</f>
        <v>131074</v>
      </c>
      <c r="AG55" s="1" t="str">
        <f>DEC2HEX(AF55)</f>
        <v>20002</v>
      </c>
    </row>
    <row r="56" spans="1:33" x14ac:dyDescent="0.4">
      <c r="A56" s="1" t="s">
        <v>82</v>
      </c>
      <c r="P56" s="1">
        <v>3</v>
      </c>
      <c r="Q56" s="1">
        <f>B56*B$1</f>
        <v>0</v>
      </c>
      <c r="R56" s="1">
        <f>C56*C$1</f>
        <v>0</v>
      </c>
      <c r="S56" s="1">
        <f>D56*D$1</f>
        <v>0</v>
      </c>
      <c r="T56" s="1">
        <f>E56*E$1</f>
        <v>0</v>
      </c>
      <c r="U56" s="1">
        <f>F56*F$1</f>
        <v>0</v>
      </c>
      <c r="V56" s="1">
        <f>G56*G$1</f>
        <v>0</v>
      </c>
      <c r="W56" s="1">
        <f>H56*H$1</f>
        <v>0</v>
      </c>
      <c r="X56" s="1">
        <f>I56*I$1</f>
        <v>0</v>
      </c>
      <c r="Y56" s="1">
        <f>J56*J$1</f>
        <v>0</v>
      </c>
      <c r="Z56" s="1">
        <f>K56*K$1</f>
        <v>0</v>
      </c>
      <c r="AA56" s="1">
        <f>L56*L$1</f>
        <v>0</v>
      </c>
      <c r="AB56" s="1">
        <f>M56*M$1</f>
        <v>0</v>
      </c>
      <c r="AC56" s="1">
        <f>N56*N$1</f>
        <v>0</v>
      </c>
      <c r="AD56" s="1">
        <f>O56*O$1</f>
        <v>0</v>
      </c>
      <c r="AE56" s="1">
        <f>P56*P$1</f>
        <v>196608</v>
      </c>
      <c r="AF56" s="1">
        <f>SUM(Q56:AE56)</f>
        <v>196608</v>
      </c>
      <c r="AG56" s="1" t="str">
        <f>DEC2HEX(AF56)</f>
        <v>30000</v>
      </c>
    </row>
    <row r="57" spans="1:33" x14ac:dyDescent="0.4">
      <c r="A57" s="1" t="s">
        <v>31</v>
      </c>
      <c r="B57" s="1">
        <v>1</v>
      </c>
      <c r="P57" s="1">
        <v>4</v>
      </c>
      <c r="Q57" s="1">
        <f>B57*B$1</f>
        <v>1</v>
      </c>
      <c r="R57" s="1">
        <f>C57*C$1</f>
        <v>0</v>
      </c>
      <c r="S57" s="1">
        <f>D57*D$1</f>
        <v>0</v>
      </c>
      <c r="T57" s="1">
        <f>E57*E$1</f>
        <v>0</v>
      </c>
      <c r="U57" s="1">
        <f>F57*F$1</f>
        <v>0</v>
      </c>
      <c r="V57" s="1">
        <f>G57*G$1</f>
        <v>0</v>
      </c>
      <c r="W57" s="1">
        <f>H57*H$1</f>
        <v>0</v>
      </c>
      <c r="X57" s="1">
        <f>I57*I$1</f>
        <v>0</v>
      </c>
      <c r="Y57" s="1">
        <f>J57*J$1</f>
        <v>0</v>
      </c>
      <c r="Z57" s="1">
        <f>K57*K$1</f>
        <v>0</v>
      </c>
      <c r="AA57" s="1">
        <f>L57*L$1</f>
        <v>0</v>
      </c>
      <c r="AB57" s="1">
        <f>M57*M$1</f>
        <v>0</v>
      </c>
      <c r="AC57" s="1">
        <f>N57*N$1</f>
        <v>0</v>
      </c>
      <c r="AD57" s="1">
        <f>O57*O$1</f>
        <v>0</v>
      </c>
      <c r="AE57" s="1">
        <f>P57*P$1</f>
        <v>262144</v>
      </c>
      <c r="AF57" s="1">
        <f>SUM(Q57:AE57)</f>
        <v>262145</v>
      </c>
      <c r="AG57" s="1" t="str">
        <f>DEC2HEX(AF57)</f>
        <v>40001</v>
      </c>
    </row>
    <row r="58" spans="1:33" x14ac:dyDescent="0.4">
      <c r="A58" s="1" t="s">
        <v>32</v>
      </c>
      <c r="B58" s="1">
        <v>2</v>
      </c>
      <c r="P58" s="1">
        <v>4</v>
      </c>
      <c r="Q58" s="1">
        <f>B58*B$1</f>
        <v>2</v>
      </c>
      <c r="R58" s="1">
        <f>C58*C$1</f>
        <v>0</v>
      </c>
      <c r="S58" s="1">
        <f>D58*D$1</f>
        <v>0</v>
      </c>
      <c r="T58" s="1">
        <f>E58*E$1</f>
        <v>0</v>
      </c>
      <c r="U58" s="1">
        <f>F58*F$1</f>
        <v>0</v>
      </c>
      <c r="V58" s="1">
        <f>G58*G$1</f>
        <v>0</v>
      </c>
      <c r="W58" s="1">
        <f>H58*H$1</f>
        <v>0</v>
      </c>
      <c r="X58" s="1">
        <f>I58*I$1</f>
        <v>0</v>
      </c>
      <c r="Y58" s="1">
        <f>J58*J$1</f>
        <v>0</v>
      </c>
      <c r="Z58" s="1">
        <f>K58*K$1</f>
        <v>0</v>
      </c>
      <c r="AA58" s="1">
        <f>L58*L$1</f>
        <v>0</v>
      </c>
      <c r="AB58" s="1">
        <f>M58*M$1</f>
        <v>0</v>
      </c>
      <c r="AC58" s="1">
        <f>N58*N$1</f>
        <v>0</v>
      </c>
      <c r="AD58" s="1">
        <f>O58*O$1</f>
        <v>0</v>
      </c>
      <c r="AE58" s="1">
        <f>P58*P$1</f>
        <v>262144</v>
      </c>
      <c r="AF58" s="1">
        <f>SUM(Q58:AE58)</f>
        <v>262146</v>
      </c>
      <c r="AG58" s="1" t="str">
        <f>DEC2HEX(AF58)</f>
        <v>40002</v>
      </c>
    </row>
    <row r="59" spans="1:33" x14ac:dyDescent="0.4">
      <c r="A59" s="1" t="s">
        <v>88</v>
      </c>
      <c r="B59" s="1">
        <v>3</v>
      </c>
      <c r="P59" s="1">
        <v>4</v>
      </c>
      <c r="Q59" s="1">
        <f>B59*B$1</f>
        <v>3</v>
      </c>
      <c r="R59" s="1">
        <f>C59*C$1</f>
        <v>0</v>
      </c>
      <c r="S59" s="1">
        <f>D59*D$1</f>
        <v>0</v>
      </c>
      <c r="T59" s="1">
        <f>E59*E$1</f>
        <v>0</v>
      </c>
      <c r="U59" s="1">
        <f>F59*F$1</f>
        <v>0</v>
      </c>
      <c r="V59" s="1">
        <f>G59*G$1</f>
        <v>0</v>
      </c>
      <c r="W59" s="1">
        <f>H59*H$1</f>
        <v>0</v>
      </c>
      <c r="X59" s="1">
        <f>I59*I$1</f>
        <v>0</v>
      </c>
      <c r="Y59" s="1">
        <f>J59*J$1</f>
        <v>0</v>
      </c>
      <c r="Z59" s="1">
        <f>K59*K$1</f>
        <v>0</v>
      </c>
      <c r="AA59" s="1">
        <f>L59*L$1</f>
        <v>0</v>
      </c>
      <c r="AB59" s="1">
        <f>M59*M$1</f>
        <v>0</v>
      </c>
      <c r="AC59" s="1">
        <f>N59*N$1</f>
        <v>0</v>
      </c>
      <c r="AD59" s="1">
        <f>O59*O$1</f>
        <v>0</v>
      </c>
      <c r="AE59" s="1">
        <f>P59*P$1</f>
        <v>262144</v>
      </c>
      <c r="AF59" s="1">
        <f>SUM(Q59:AE59)</f>
        <v>262147</v>
      </c>
      <c r="AG59" s="1" t="str">
        <f>DEC2HEX(AF59)</f>
        <v>40003</v>
      </c>
    </row>
    <row r="60" spans="1:33" x14ac:dyDescent="0.4">
      <c r="A60" s="1" t="s">
        <v>83</v>
      </c>
      <c r="P60" s="1">
        <v>5</v>
      </c>
      <c r="Q60" s="1">
        <f>B60*B$1</f>
        <v>0</v>
      </c>
      <c r="R60" s="1">
        <f>C60*C$1</f>
        <v>0</v>
      </c>
      <c r="S60" s="1">
        <f>D60*D$1</f>
        <v>0</v>
      </c>
      <c r="T60" s="1">
        <f>E60*E$1</f>
        <v>0</v>
      </c>
      <c r="U60" s="1">
        <f>F60*F$1</f>
        <v>0</v>
      </c>
      <c r="V60" s="1">
        <f>G60*G$1</f>
        <v>0</v>
      </c>
      <c r="W60" s="1">
        <f>H60*H$1</f>
        <v>0</v>
      </c>
      <c r="X60" s="1">
        <f>I60*I$1</f>
        <v>0</v>
      </c>
      <c r="Y60" s="1">
        <f>J60*J$1</f>
        <v>0</v>
      </c>
      <c r="Z60" s="1">
        <f>K60*K$1</f>
        <v>0</v>
      </c>
      <c r="AA60" s="1">
        <f>L60*L$1</f>
        <v>0</v>
      </c>
      <c r="AB60" s="1">
        <f>M60*M$1</f>
        <v>0</v>
      </c>
      <c r="AC60" s="1">
        <f>N60*N$1</f>
        <v>0</v>
      </c>
      <c r="AD60" s="1">
        <f>O60*O$1</f>
        <v>0</v>
      </c>
      <c r="AE60" s="1">
        <f>P60*P$1</f>
        <v>327680</v>
      </c>
      <c r="AF60" s="1">
        <f>SUM(Q60:AE60)</f>
        <v>327680</v>
      </c>
      <c r="AG60" s="1" t="str">
        <f>DEC2HEX(AF60)</f>
        <v>50000</v>
      </c>
    </row>
    <row r="61" spans="1:33" x14ac:dyDescent="0.4">
      <c r="A61" s="1" t="s">
        <v>33</v>
      </c>
      <c r="P61" s="1">
        <v>6</v>
      </c>
      <c r="Q61" s="1">
        <f>B61*B$1</f>
        <v>0</v>
      </c>
      <c r="R61" s="1">
        <f>C61*C$1</f>
        <v>0</v>
      </c>
      <c r="S61" s="1">
        <f>D61*D$1</f>
        <v>0</v>
      </c>
      <c r="T61" s="1">
        <f>E61*E$1</f>
        <v>0</v>
      </c>
      <c r="U61" s="1">
        <f>F61*F$1</f>
        <v>0</v>
      </c>
      <c r="V61" s="1">
        <f>G61*G$1</f>
        <v>0</v>
      </c>
      <c r="W61" s="1">
        <f>H61*H$1</f>
        <v>0</v>
      </c>
      <c r="X61" s="1">
        <f>I61*I$1</f>
        <v>0</v>
      </c>
      <c r="Y61" s="1">
        <f>J61*J$1</f>
        <v>0</v>
      </c>
      <c r="Z61" s="1">
        <f>K61*K$1</f>
        <v>0</v>
      </c>
      <c r="AA61" s="1">
        <f>L61*L$1</f>
        <v>0</v>
      </c>
      <c r="AB61" s="1">
        <f>M61*M$1</f>
        <v>0</v>
      </c>
      <c r="AC61" s="1">
        <f>N61*N$1</f>
        <v>0</v>
      </c>
      <c r="AD61" s="1">
        <f>O61*O$1</f>
        <v>0</v>
      </c>
      <c r="AE61" s="1">
        <f>P61*P$1</f>
        <v>393216</v>
      </c>
      <c r="AF61" s="1">
        <f>SUM(Q61:AE61)</f>
        <v>393216</v>
      </c>
      <c r="AG61" s="1" t="str">
        <f>DEC2HEX(AF61)</f>
        <v>60000</v>
      </c>
    </row>
    <row r="62" spans="1:33" x14ac:dyDescent="0.4">
      <c r="A62" s="1" t="s">
        <v>34</v>
      </c>
      <c r="P62" s="1">
        <v>7</v>
      </c>
      <c r="Q62" s="1">
        <f>B62*B$1</f>
        <v>0</v>
      </c>
      <c r="R62" s="1">
        <f>C62*C$1</f>
        <v>0</v>
      </c>
      <c r="S62" s="1">
        <f>D62*D$1</f>
        <v>0</v>
      </c>
      <c r="T62" s="1">
        <f>E62*E$1</f>
        <v>0</v>
      </c>
      <c r="U62" s="1">
        <f>F62*F$1</f>
        <v>0</v>
      </c>
      <c r="V62" s="1">
        <f>G62*G$1</f>
        <v>0</v>
      </c>
      <c r="W62" s="1">
        <f>H62*H$1</f>
        <v>0</v>
      </c>
      <c r="X62" s="1">
        <f>I62*I$1</f>
        <v>0</v>
      </c>
      <c r="Y62" s="1">
        <f>J62*J$1</f>
        <v>0</v>
      </c>
      <c r="Z62" s="1">
        <f>K62*K$1</f>
        <v>0</v>
      </c>
      <c r="AA62" s="1">
        <f>L62*L$1</f>
        <v>0</v>
      </c>
      <c r="AB62" s="1">
        <f>M62*M$1</f>
        <v>0</v>
      </c>
      <c r="AC62" s="1">
        <f>N62*N$1</f>
        <v>0</v>
      </c>
      <c r="AD62" s="1">
        <f>O62*O$1</f>
        <v>0</v>
      </c>
      <c r="AE62" s="1">
        <f>P62*P$1</f>
        <v>458752</v>
      </c>
      <c r="AF62" s="1">
        <f>SUM(Q62:AE62)</f>
        <v>458752</v>
      </c>
      <c r="AG62" s="1" t="str">
        <f>DEC2HEX(AF62)</f>
        <v>70000</v>
      </c>
    </row>
    <row r="63" spans="1:33" x14ac:dyDescent="0.4">
      <c r="A63" s="1" t="s">
        <v>35</v>
      </c>
      <c r="P63" s="1">
        <v>8</v>
      </c>
      <c r="Q63" s="1">
        <f>B63*B$1</f>
        <v>0</v>
      </c>
      <c r="R63" s="1">
        <f>C63*C$1</f>
        <v>0</v>
      </c>
      <c r="S63" s="1">
        <f>D63*D$1</f>
        <v>0</v>
      </c>
      <c r="T63" s="1">
        <f>E63*E$1</f>
        <v>0</v>
      </c>
      <c r="U63" s="1">
        <f>F63*F$1</f>
        <v>0</v>
      </c>
      <c r="V63" s="1">
        <f>G63*G$1</f>
        <v>0</v>
      </c>
      <c r="W63" s="1">
        <f>H63*H$1</f>
        <v>0</v>
      </c>
      <c r="X63" s="1">
        <f>I63*I$1</f>
        <v>0</v>
      </c>
      <c r="Y63" s="1">
        <f>J63*J$1</f>
        <v>0</v>
      </c>
      <c r="Z63" s="1">
        <f>K63*K$1</f>
        <v>0</v>
      </c>
      <c r="AA63" s="1">
        <f>L63*L$1</f>
        <v>0</v>
      </c>
      <c r="AB63" s="1">
        <f>M63*M$1</f>
        <v>0</v>
      </c>
      <c r="AC63" s="1">
        <f>N63*N$1</f>
        <v>0</v>
      </c>
      <c r="AD63" s="1">
        <f>O63*O$1</f>
        <v>0</v>
      </c>
      <c r="AE63" s="1">
        <f>P63*P$1</f>
        <v>524288</v>
      </c>
      <c r="AF63" s="1">
        <f>SUM(Q63:AE63)</f>
        <v>524288</v>
      </c>
      <c r="AG63" s="1" t="str">
        <f>DEC2HEX(AF63)</f>
        <v>80000</v>
      </c>
    </row>
    <row r="64" spans="1:33" x14ac:dyDescent="0.4">
      <c r="A64" s="1" t="s">
        <v>36</v>
      </c>
      <c r="P64" s="1">
        <v>9</v>
      </c>
      <c r="Q64" s="1">
        <f>B64*B$1</f>
        <v>0</v>
      </c>
      <c r="R64" s="1">
        <f>C64*C$1</f>
        <v>0</v>
      </c>
      <c r="S64" s="1">
        <f>D64*D$1</f>
        <v>0</v>
      </c>
      <c r="T64" s="1">
        <f>E64*E$1</f>
        <v>0</v>
      </c>
      <c r="U64" s="1">
        <f>F64*F$1</f>
        <v>0</v>
      </c>
      <c r="V64" s="1">
        <f>G64*G$1</f>
        <v>0</v>
      </c>
      <c r="W64" s="1">
        <f>H64*H$1</f>
        <v>0</v>
      </c>
      <c r="X64" s="1">
        <f>I64*I$1</f>
        <v>0</v>
      </c>
      <c r="Y64" s="1">
        <f>J64*J$1</f>
        <v>0</v>
      </c>
      <c r="Z64" s="1">
        <f>K64*K$1</f>
        <v>0</v>
      </c>
      <c r="AA64" s="1">
        <f>L64*L$1</f>
        <v>0</v>
      </c>
      <c r="AB64" s="1">
        <f>M64*M$1</f>
        <v>0</v>
      </c>
      <c r="AC64" s="1">
        <f>N64*N$1</f>
        <v>0</v>
      </c>
      <c r="AD64" s="1">
        <f>O64*O$1</f>
        <v>0</v>
      </c>
      <c r="AE64" s="1">
        <f>P64*P$1</f>
        <v>589824</v>
      </c>
      <c r="AF64" s="1">
        <f>SUM(Q64:AE64)</f>
        <v>589824</v>
      </c>
      <c r="AG64" s="1" t="str">
        <f>DEC2HEX(AF64)</f>
        <v>90000</v>
      </c>
    </row>
    <row r="65" spans="1:33" x14ac:dyDescent="0.4">
      <c r="A65" s="1" t="s">
        <v>37</v>
      </c>
      <c r="P65" s="1">
        <v>10</v>
      </c>
      <c r="Q65" s="1">
        <f>B65*B$1</f>
        <v>0</v>
      </c>
      <c r="R65" s="1">
        <f>C65*C$1</f>
        <v>0</v>
      </c>
      <c r="S65" s="1">
        <f>D65*D$1</f>
        <v>0</v>
      </c>
      <c r="T65" s="1">
        <f>E65*E$1</f>
        <v>0</v>
      </c>
      <c r="U65" s="1">
        <f>F65*F$1</f>
        <v>0</v>
      </c>
      <c r="V65" s="1">
        <f>G65*G$1</f>
        <v>0</v>
      </c>
      <c r="W65" s="1">
        <f>H65*H$1</f>
        <v>0</v>
      </c>
      <c r="X65" s="1">
        <f>I65*I$1</f>
        <v>0</v>
      </c>
      <c r="Y65" s="1">
        <f>J65*J$1</f>
        <v>0</v>
      </c>
      <c r="Z65" s="1">
        <f>K65*K$1</f>
        <v>0</v>
      </c>
      <c r="AA65" s="1">
        <f>L65*L$1</f>
        <v>0</v>
      </c>
      <c r="AB65" s="1">
        <f>M65*M$1</f>
        <v>0</v>
      </c>
      <c r="AC65" s="1">
        <f>N65*N$1</f>
        <v>0</v>
      </c>
      <c r="AD65" s="1">
        <f>O65*O$1</f>
        <v>0</v>
      </c>
      <c r="AE65" s="1">
        <f>P65*P$1</f>
        <v>655360</v>
      </c>
      <c r="AF65" s="1">
        <f>SUM(Q65:AE65)</f>
        <v>655360</v>
      </c>
      <c r="AG65" s="1" t="str">
        <f>DEC2HEX(AF65)</f>
        <v>A0000</v>
      </c>
    </row>
    <row r="66" spans="1:33" x14ac:dyDescent="0.4">
      <c r="A66" s="1" t="s">
        <v>38</v>
      </c>
      <c r="P66" s="1">
        <v>11</v>
      </c>
      <c r="Q66" s="1">
        <f>B66*B$1</f>
        <v>0</v>
      </c>
      <c r="R66" s="1">
        <f>C66*C$1</f>
        <v>0</v>
      </c>
      <c r="S66" s="1">
        <f>D66*D$1</f>
        <v>0</v>
      </c>
      <c r="T66" s="1">
        <f>E66*E$1</f>
        <v>0</v>
      </c>
      <c r="U66" s="1">
        <f>F66*F$1</f>
        <v>0</v>
      </c>
      <c r="V66" s="1">
        <f>G66*G$1</f>
        <v>0</v>
      </c>
      <c r="W66" s="1">
        <f>H66*H$1</f>
        <v>0</v>
      </c>
      <c r="X66" s="1">
        <f>I66*I$1</f>
        <v>0</v>
      </c>
      <c r="Y66" s="1">
        <f>J66*J$1</f>
        <v>0</v>
      </c>
      <c r="Z66" s="1">
        <f>K66*K$1</f>
        <v>0</v>
      </c>
      <c r="AA66" s="1">
        <f>L66*L$1</f>
        <v>0</v>
      </c>
      <c r="AB66" s="1">
        <f>M66*M$1</f>
        <v>0</v>
      </c>
      <c r="AC66" s="1">
        <f>N66*N$1</f>
        <v>0</v>
      </c>
      <c r="AD66" s="1">
        <f>O66*O$1</f>
        <v>0</v>
      </c>
      <c r="AE66" s="1">
        <f>P66*P$1</f>
        <v>720896</v>
      </c>
      <c r="AF66" s="1">
        <f>SUM(Q66:AE66)</f>
        <v>720896</v>
      </c>
      <c r="AG66" s="1" t="str">
        <f>DEC2HEX(AF66)</f>
        <v>B0000</v>
      </c>
    </row>
    <row r="67" spans="1:33" x14ac:dyDescent="0.4">
      <c r="A67" s="1" t="s">
        <v>39</v>
      </c>
      <c r="P67" s="1">
        <v>12</v>
      </c>
      <c r="Q67" s="1">
        <f>B67*B$1</f>
        <v>0</v>
      </c>
      <c r="R67" s="1">
        <f>C67*C$1</f>
        <v>0</v>
      </c>
      <c r="S67" s="1">
        <f>D67*D$1</f>
        <v>0</v>
      </c>
      <c r="T67" s="1">
        <f>E67*E$1</f>
        <v>0</v>
      </c>
      <c r="U67" s="1">
        <f>F67*F$1</f>
        <v>0</v>
      </c>
      <c r="V67" s="1">
        <f>G67*G$1</f>
        <v>0</v>
      </c>
      <c r="W67" s="1">
        <f>H67*H$1</f>
        <v>0</v>
      </c>
      <c r="X67" s="1">
        <f>I67*I$1</f>
        <v>0</v>
      </c>
      <c r="Y67" s="1">
        <f>J67*J$1</f>
        <v>0</v>
      </c>
      <c r="Z67" s="1">
        <f>K67*K$1</f>
        <v>0</v>
      </c>
      <c r="AA67" s="1">
        <f>L67*L$1</f>
        <v>0</v>
      </c>
      <c r="AB67" s="1">
        <f>M67*M$1</f>
        <v>0</v>
      </c>
      <c r="AC67" s="1">
        <f>N67*N$1</f>
        <v>0</v>
      </c>
      <c r="AD67" s="1">
        <f>O67*O$1</f>
        <v>0</v>
      </c>
      <c r="AE67" s="1">
        <f>P67*P$1</f>
        <v>786432</v>
      </c>
      <c r="AF67" s="1">
        <f>SUM(Q67:AE67)</f>
        <v>786432</v>
      </c>
      <c r="AG67" s="1" t="str">
        <f>DEC2HEX(AF67)</f>
        <v>C0000</v>
      </c>
    </row>
    <row r="68" spans="1:33" x14ac:dyDescent="0.4">
      <c r="A68" s="1" t="s">
        <v>48</v>
      </c>
      <c r="P68" s="1">
        <v>13</v>
      </c>
      <c r="Q68" s="1">
        <f>B68*B$1</f>
        <v>0</v>
      </c>
      <c r="R68" s="1">
        <f>C68*C$1</f>
        <v>0</v>
      </c>
      <c r="S68" s="1">
        <f>D68*D$1</f>
        <v>0</v>
      </c>
      <c r="T68" s="1">
        <f>E68*E$1</f>
        <v>0</v>
      </c>
      <c r="U68" s="1">
        <f>F68*F$1</f>
        <v>0</v>
      </c>
      <c r="V68" s="1">
        <f>G68*G$1</f>
        <v>0</v>
      </c>
      <c r="W68" s="1">
        <f>H68*H$1</f>
        <v>0</v>
      </c>
      <c r="X68" s="1">
        <f>I68*I$1</f>
        <v>0</v>
      </c>
      <c r="Y68" s="1">
        <f>J68*J$1</f>
        <v>0</v>
      </c>
      <c r="Z68" s="1">
        <f>K68*K$1</f>
        <v>0</v>
      </c>
      <c r="AA68" s="1">
        <f>L68*L$1</f>
        <v>0</v>
      </c>
      <c r="AB68" s="1">
        <f>M68*M$1</f>
        <v>0</v>
      </c>
      <c r="AC68" s="1">
        <f>N68*N$1</f>
        <v>0</v>
      </c>
      <c r="AD68" s="1">
        <f>O68*O$1</f>
        <v>0</v>
      </c>
      <c r="AE68" s="1">
        <f>P68*P$1</f>
        <v>851968</v>
      </c>
      <c r="AF68" s="1">
        <f>SUM(Q68:AE68)</f>
        <v>851968</v>
      </c>
      <c r="AG68" s="1" t="str">
        <f>DEC2HEX(AF68)</f>
        <v>D0000</v>
      </c>
    </row>
    <row r="69" spans="1:33" x14ac:dyDescent="0.4">
      <c r="A69" s="1" t="s">
        <v>49</v>
      </c>
      <c r="P69" s="1">
        <v>14</v>
      </c>
      <c r="Q69" s="1">
        <f>B69*B$1</f>
        <v>0</v>
      </c>
      <c r="R69" s="1">
        <f>C69*C$1</f>
        <v>0</v>
      </c>
      <c r="S69" s="1">
        <f>D69*D$1</f>
        <v>0</v>
      </c>
      <c r="T69" s="1">
        <f>E69*E$1</f>
        <v>0</v>
      </c>
      <c r="U69" s="1">
        <f>F69*F$1</f>
        <v>0</v>
      </c>
      <c r="V69" s="1">
        <f>G69*G$1</f>
        <v>0</v>
      </c>
      <c r="W69" s="1">
        <f>H69*H$1</f>
        <v>0</v>
      </c>
      <c r="X69" s="1">
        <f>I69*I$1</f>
        <v>0</v>
      </c>
      <c r="Y69" s="1">
        <f>J69*J$1</f>
        <v>0</v>
      </c>
      <c r="Z69" s="1">
        <f>K69*K$1</f>
        <v>0</v>
      </c>
      <c r="AA69" s="1">
        <f>L69*L$1</f>
        <v>0</v>
      </c>
      <c r="AB69" s="1">
        <f>M69*M$1</f>
        <v>0</v>
      </c>
      <c r="AC69" s="1">
        <f>N69*N$1</f>
        <v>0</v>
      </c>
      <c r="AD69" s="1">
        <f>O69*O$1</f>
        <v>0</v>
      </c>
      <c r="AE69" s="1">
        <f>P69*P$1</f>
        <v>917504</v>
      </c>
      <c r="AF69" s="1">
        <f>SUM(Q69:AE69)</f>
        <v>917504</v>
      </c>
      <c r="AG69" s="1" t="str">
        <f>DEC2HEX(AF69)</f>
        <v>E0000</v>
      </c>
    </row>
    <row r="70" spans="1:33" x14ac:dyDescent="0.4">
      <c r="A70" s="1" t="s">
        <v>52</v>
      </c>
      <c r="B70" s="1">
        <v>1</v>
      </c>
      <c r="P70" s="1">
        <v>15</v>
      </c>
      <c r="Q70" s="1">
        <f>B70*B$1</f>
        <v>1</v>
      </c>
      <c r="R70" s="1">
        <f>C70*C$1</f>
        <v>0</v>
      </c>
      <c r="S70" s="1">
        <f>D70*D$1</f>
        <v>0</v>
      </c>
      <c r="T70" s="1">
        <f>E70*E$1</f>
        <v>0</v>
      </c>
      <c r="U70" s="1">
        <f>F70*F$1</f>
        <v>0</v>
      </c>
      <c r="V70" s="1">
        <f>G70*G$1</f>
        <v>0</v>
      </c>
      <c r="W70" s="1">
        <f>H70*H$1</f>
        <v>0</v>
      </c>
      <c r="X70" s="1">
        <f>I70*I$1</f>
        <v>0</v>
      </c>
      <c r="Y70" s="1">
        <f>J70*J$1</f>
        <v>0</v>
      </c>
      <c r="Z70" s="1">
        <f>K70*K$1</f>
        <v>0</v>
      </c>
      <c r="AA70" s="1">
        <f>L70*L$1</f>
        <v>0</v>
      </c>
      <c r="AB70" s="1">
        <f>M70*M$1</f>
        <v>0</v>
      </c>
      <c r="AC70" s="1">
        <f>N70*N$1</f>
        <v>0</v>
      </c>
      <c r="AD70" s="1">
        <f>O70*O$1</f>
        <v>0</v>
      </c>
      <c r="AE70" s="1">
        <f>P70*P$1</f>
        <v>983040</v>
      </c>
      <c r="AF70" s="1">
        <f>SUM(Q70:AE70)</f>
        <v>983041</v>
      </c>
      <c r="AG70" s="1" t="str">
        <f>DEC2HEX(AF70)</f>
        <v>F0001</v>
      </c>
    </row>
    <row r="71" spans="1:33" x14ac:dyDescent="0.4">
      <c r="A71" s="1" t="s">
        <v>84</v>
      </c>
      <c r="B71" s="1">
        <v>3</v>
      </c>
      <c r="P71" s="1">
        <v>15</v>
      </c>
      <c r="Q71" s="1">
        <f>B71*B$1</f>
        <v>3</v>
      </c>
      <c r="R71" s="1">
        <f>C71*C$1</f>
        <v>0</v>
      </c>
      <c r="S71" s="1">
        <f>D71*D$1</f>
        <v>0</v>
      </c>
      <c r="T71" s="1">
        <f>E71*E$1</f>
        <v>0</v>
      </c>
      <c r="U71" s="1">
        <f>F71*F$1</f>
        <v>0</v>
      </c>
      <c r="V71" s="1">
        <f>G71*G$1</f>
        <v>0</v>
      </c>
      <c r="W71" s="1">
        <f>H71*H$1</f>
        <v>0</v>
      </c>
      <c r="X71" s="1">
        <f>I71*I$1</f>
        <v>0</v>
      </c>
      <c r="Y71" s="1">
        <f>J71*J$1</f>
        <v>0</v>
      </c>
      <c r="Z71" s="1">
        <f>K71*K$1</f>
        <v>0</v>
      </c>
      <c r="AA71" s="1">
        <f>L71*L$1</f>
        <v>0</v>
      </c>
      <c r="AB71" s="1">
        <f>M71*M$1</f>
        <v>0</v>
      </c>
      <c r="AC71" s="1">
        <f>N71*N$1</f>
        <v>0</v>
      </c>
      <c r="AD71" s="1">
        <f>O71*O$1</f>
        <v>0</v>
      </c>
      <c r="AE71" s="1">
        <f>P71*P$1</f>
        <v>983040</v>
      </c>
      <c r="AF71" s="1">
        <f>SUM(Q71:AE71)</f>
        <v>983043</v>
      </c>
      <c r="AG71" s="1" t="str">
        <f>DEC2HEX(AF71)</f>
        <v>F0003</v>
      </c>
    </row>
    <row r="72" spans="1:33" x14ac:dyDescent="0.4">
      <c r="A72" s="1" t="s">
        <v>53</v>
      </c>
      <c r="P72" s="1">
        <v>16</v>
      </c>
      <c r="Q72" s="1">
        <f>B72*B$1</f>
        <v>0</v>
      </c>
      <c r="R72" s="1">
        <f>C72*C$1</f>
        <v>0</v>
      </c>
      <c r="S72" s="1">
        <f>D72*D$1</f>
        <v>0</v>
      </c>
      <c r="T72" s="1">
        <f>E72*E$1</f>
        <v>0</v>
      </c>
      <c r="U72" s="1">
        <f>F72*F$1</f>
        <v>0</v>
      </c>
      <c r="V72" s="1">
        <f>G72*G$1</f>
        <v>0</v>
      </c>
      <c r="W72" s="1">
        <f>H72*H$1</f>
        <v>0</v>
      </c>
      <c r="X72" s="1">
        <f>I72*I$1</f>
        <v>0</v>
      </c>
      <c r="Y72" s="1">
        <f>J72*J$1</f>
        <v>0</v>
      </c>
      <c r="Z72" s="1">
        <f>K72*K$1</f>
        <v>0</v>
      </c>
      <c r="AA72" s="1">
        <f>L72*L$1</f>
        <v>0</v>
      </c>
      <c r="AB72" s="1">
        <f>M72*M$1</f>
        <v>0</v>
      </c>
      <c r="AC72" s="1">
        <f>N72*N$1</f>
        <v>0</v>
      </c>
      <c r="AD72" s="1">
        <f>O72*O$1</f>
        <v>0</v>
      </c>
      <c r="AE72" s="1">
        <f>P72*P$1</f>
        <v>1048576</v>
      </c>
      <c r="AF72" s="1">
        <f>SUM(Q72:AE72)</f>
        <v>1048576</v>
      </c>
      <c r="AG72" s="1" t="str">
        <f>DEC2HEX(AF72)</f>
        <v>100000</v>
      </c>
    </row>
    <row r="73" spans="1:33" x14ac:dyDescent="0.4">
      <c r="A73" s="1" t="s">
        <v>54</v>
      </c>
      <c r="P73" s="1">
        <v>17</v>
      </c>
      <c r="Q73" s="1">
        <f>B73*B$1</f>
        <v>0</v>
      </c>
      <c r="R73" s="1">
        <f>C73*C$1</f>
        <v>0</v>
      </c>
      <c r="S73" s="1">
        <f>D73*D$1</f>
        <v>0</v>
      </c>
      <c r="T73" s="1">
        <f>E73*E$1</f>
        <v>0</v>
      </c>
      <c r="U73" s="1">
        <f>F73*F$1</f>
        <v>0</v>
      </c>
      <c r="V73" s="1">
        <f>G73*G$1</f>
        <v>0</v>
      </c>
      <c r="W73" s="1">
        <f>H73*H$1</f>
        <v>0</v>
      </c>
      <c r="X73" s="1">
        <f>I73*I$1</f>
        <v>0</v>
      </c>
      <c r="Y73" s="1">
        <f>J73*J$1</f>
        <v>0</v>
      </c>
      <c r="Z73" s="1">
        <f>K73*K$1</f>
        <v>0</v>
      </c>
      <c r="AA73" s="1">
        <f>L73*L$1</f>
        <v>0</v>
      </c>
      <c r="AB73" s="1">
        <f>M73*M$1</f>
        <v>0</v>
      </c>
      <c r="AC73" s="1">
        <f>N73*N$1</f>
        <v>0</v>
      </c>
      <c r="AD73" s="1">
        <f>O73*O$1</f>
        <v>0</v>
      </c>
      <c r="AE73" s="1">
        <f>P73*P$1</f>
        <v>1114112</v>
      </c>
      <c r="AF73" s="1">
        <f>SUM(Q73:AE73)</f>
        <v>1114112</v>
      </c>
      <c r="AG73" s="1" t="str">
        <f>DEC2HEX(AF73)</f>
        <v>110000</v>
      </c>
    </row>
    <row r="74" spans="1:33" x14ac:dyDescent="0.4">
      <c r="A74" s="1" t="s">
        <v>55</v>
      </c>
      <c r="P74" s="1">
        <v>18</v>
      </c>
      <c r="Q74" s="1">
        <f>B74*B$1</f>
        <v>0</v>
      </c>
      <c r="R74" s="1">
        <f>C74*C$1</f>
        <v>0</v>
      </c>
      <c r="S74" s="1">
        <f>D74*D$1</f>
        <v>0</v>
      </c>
      <c r="T74" s="1">
        <f>E74*E$1</f>
        <v>0</v>
      </c>
      <c r="U74" s="1">
        <f>F74*F$1</f>
        <v>0</v>
      </c>
      <c r="V74" s="1">
        <f>G74*G$1</f>
        <v>0</v>
      </c>
      <c r="W74" s="1">
        <f>H74*H$1</f>
        <v>0</v>
      </c>
      <c r="X74" s="1">
        <f>I74*I$1</f>
        <v>0</v>
      </c>
      <c r="Y74" s="1">
        <f>J74*J$1</f>
        <v>0</v>
      </c>
      <c r="Z74" s="1">
        <f>K74*K$1</f>
        <v>0</v>
      </c>
      <c r="AA74" s="1">
        <f>L74*L$1</f>
        <v>0</v>
      </c>
      <c r="AB74" s="1">
        <f>M74*M$1</f>
        <v>0</v>
      </c>
      <c r="AC74" s="1">
        <f>N74*N$1</f>
        <v>0</v>
      </c>
      <c r="AD74" s="1">
        <f>O74*O$1</f>
        <v>0</v>
      </c>
      <c r="AE74" s="1">
        <f>P74*P$1</f>
        <v>1179648</v>
      </c>
      <c r="AF74" s="1">
        <f>SUM(Q74:AE74)</f>
        <v>1179648</v>
      </c>
      <c r="AG74" s="1" t="str">
        <f>DEC2HEX(AF74)</f>
        <v>120000</v>
      </c>
    </row>
    <row r="75" spans="1:33" x14ac:dyDescent="0.4">
      <c r="A75" s="1" t="s">
        <v>97</v>
      </c>
      <c r="P75" s="1">
        <v>19</v>
      </c>
      <c r="Q75" s="1">
        <f>B75*B$1</f>
        <v>0</v>
      </c>
      <c r="R75" s="1">
        <f>C75*C$1</f>
        <v>0</v>
      </c>
      <c r="S75" s="1">
        <f>D75*D$1</f>
        <v>0</v>
      </c>
      <c r="T75" s="1">
        <f>E75*E$1</f>
        <v>0</v>
      </c>
      <c r="U75" s="1">
        <f>F75*F$1</f>
        <v>0</v>
      </c>
      <c r="V75" s="1">
        <f>G75*G$1</f>
        <v>0</v>
      </c>
      <c r="W75" s="1">
        <f>H75*H$1</f>
        <v>0</v>
      </c>
      <c r="X75" s="1">
        <f>I75*I$1</f>
        <v>0</v>
      </c>
      <c r="Y75" s="1">
        <f>J75*J$1</f>
        <v>0</v>
      </c>
      <c r="Z75" s="1">
        <f>K75*K$1</f>
        <v>0</v>
      </c>
      <c r="AA75" s="1">
        <f>L75*L$1</f>
        <v>0</v>
      </c>
      <c r="AB75" s="1">
        <f>M75*M$1</f>
        <v>0</v>
      </c>
      <c r="AC75" s="1">
        <f>N75*N$1</f>
        <v>0</v>
      </c>
      <c r="AD75" s="1">
        <f>O75*O$1</f>
        <v>0</v>
      </c>
      <c r="AE75" s="1">
        <f>P75*P$1</f>
        <v>1245184</v>
      </c>
      <c r="AF75" s="1">
        <f>SUM(Q75:AE75)</f>
        <v>1245184</v>
      </c>
      <c r="AG75" s="1" t="str">
        <f>DEC2HEX(AF75)</f>
        <v>130000</v>
      </c>
    </row>
    <row r="76" spans="1:33" x14ac:dyDescent="0.4">
      <c r="A76" s="1" t="s">
        <v>56</v>
      </c>
      <c r="P76" s="1">
        <v>20</v>
      </c>
      <c r="Q76" s="1">
        <f>B76*B$1</f>
        <v>0</v>
      </c>
      <c r="R76" s="1">
        <f>C76*C$1</f>
        <v>0</v>
      </c>
      <c r="S76" s="1">
        <f>D76*D$1</f>
        <v>0</v>
      </c>
      <c r="T76" s="1">
        <f>E76*E$1</f>
        <v>0</v>
      </c>
      <c r="U76" s="1">
        <f>F76*F$1</f>
        <v>0</v>
      </c>
      <c r="V76" s="1">
        <f>G76*G$1</f>
        <v>0</v>
      </c>
      <c r="W76" s="1">
        <f>H76*H$1</f>
        <v>0</v>
      </c>
      <c r="X76" s="1">
        <f>I76*I$1</f>
        <v>0</v>
      </c>
      <c r="Y76" s="1">
        <f>J76*J$1</f>
        <v>0</v>
      </c>
      <c r="Z76" s="1">
        <f>K76*K$1</f>
        <v>0</v>
      </c>
      <c r="AA76" s="1">
        <f>L76*L$1</f>
        <v>0</v>
      </c>
      <c r="AB76" s="1">
        <f>M76*M$1</f>
        <v>0</v>
      </c>
      <c r="AC76" s="1">
        <f>N76*N$1</f>
        <v>0</v>
      </c>
      <c r="AD76" s="1">
        <f>O76*O$1</f>
        <v>0</v>
      </c>
      <c r="AE76" s="1">
        <f>P76*P$1</f>
        <v>1310720</v>
      </c>
      <c r="AF76" s="1">
        <f>SUM(Q76:AE76)</f>
        <v>1310720</v>
      </c>
      <c r="AG76" s="1" t="str">
        <f>DEC2HEX(AF76)</f>
        <v>140000</v>
      </c>
    </row>
    <row r="77" spans="1:33" x14ac:dyDescent="0.4">
      <c r="A77" s="1" t="s">
        <v>57</v>
      </c>
      <c r="P77" s="1">
        <v>21</v>
      </c>
      <c r="Q77" s="1">
        <f>B77*B$1</f>
        <v>0</v>
      </c>
      <c r="R77" s="1">
        <f>C77*C$1</f>
        <v>0</v>
      </c>
      <c r="S77" s="1">
        <f>D77*D$1</f>
        <v>0</v>
      </c>
      <c r="T77" s="1">
        <f>E77*E$1</f>
        <v>0</v>
      </c>
      <c r="U77" s="1">
        <f>F77*F$1</f>
        <v>0</v>
      </c>
      <c r="V77" s="1">
        <f>G77*G$1</f>
        <v>0</v>
      </c>
      <c r="W77" s="1">
        <f>H77*H$1</f>
        <v>0</v>
      </c>
      <c r="X77" s="1">
        <f>I77*I$1</f>
        <v>0</v>
      </c>
      <c r="Y77" s="1">
        <f>J77*J$1</f>
        <v>0</v>
      </c>
      <c r="Z77" s="1">
        <f>K77*K$1</f>
        <v>0</v>
      </c>
      <c r="AA77" s="1">
        <f>L77*L$1</f>
        <v>0</v>
      </c>
      <c r="AB77" s="1">
        <f>M77*M$1</f>
        <v>0</v>
      </c>
      <c r="AC77" s="1">
        <f>N77*N$1</f>
        <v>0</v>
      </c>
      <c r="AD77" s="1">
        <f>O77*O$1</f>
        <v>0</v>
      </c>
      <c r="AE77" s="1">
        <f>P77*P$1</f>
        <v>1376256</v>
      </c>
      <c r="AF77" s="1">
        <f>SUM(Q77:AE77)</f>
        <v>1376256</v>
      </c>
      <c r="AG77" s="1" t="str">
        <f>DEC2HEX(AF77)</f>
        <v>150000</v>
      </c>
    </row>
    <row r="78" spans="1:33" x14ac:dyDescent="0.4">
      <c r="A78" s="1" t="s">
        <v>58</v>
      </c>
      <c r="P78" s="1">
        <v>22</v>
      </c>
      <c r="Q78" s="1">
        <f>B78*B$1</f>
        <v>0</v>
      </c>
      <c r="R78" s="1">
        <f>C78*C$1</f>
        <v>0</v>
      </c>
      <c r="S78" s="1">
        <f>D78*D$1</f>
        <v>0</v>
      </c>
      <c r="T78" s="1">
        <f>E78*E$1</f>
        <v>0</v>
      </c>
      <c r="U78" s="1">
        <f>F78*F$1</f>
        <v>0</v>
      </c>
      <c r="V78" s="1">
        <f>G78*G$1</f>
        <v>0</v>
      </c>
      <c r="W78" s="1">
        <f>H78*H$1</f>
        <v>0</v>
      </c>
      <c r="X78" s="1">
        <f>I78*I$1</f>
        <v>0</v>
      </c>
      <c r="Y78" s="1">
        <f>J78*J$1</f>
        <v>0</v>
      </c>
      <c r="Z78" s="1">
        <f>K78*K$1</f>
        <v>0</v>
      </c>
      <c r="AA78" s="1">
        <f>L78*L$1</f>
        <v>0</v>
      </c>
      <c r="AB78" s="1">
        <f>M78*M$1</f>
        <v>0</v>
      </c>
      <c r="AC78" s="1">
        <f>N78*N$1</f>
        <v>0</v>
      </c>
      <c r="AD78" s="1">
        <f>O78*O$1</f>
        <v>0</v>
      </c>
      <c r="AE78" s="1">
        <f>P78*P$1</f>
        <v>1441792</v>
      </c>
      <c r="AF78" s="1">
        <f>SUM(Q78:AE78)</f>
        <v>1441792</v>
      </c>
      <c r="AG78" s="1" t="str">
        <f>DEC2HEX(AF78)</f>
        <v>160000</v>
      </c>
    </row>
    <row r="79" spans="1:33" x14ac:dyDescent="0.4">
      <c r="A79" s="1" t="s">
        <v>87</v>
      </c>
      <c r="P79" s="1">
        <v>23</v>
      </c>
      <c r="Q79" s="1">
        <f>B79*B$1</f>
        <v>0</v>
      </c>
      <c r="R79" s="1">
        <f>C79*C$1</f>
        <v>0</v>
      </c>
      <c r="S79" s="1">
        <f>D79*D$1</f>
        <v>0</v>
      </c>
      <c r="T79" s="1">
        <f>E79*E$1</f>
        <v>0</v>
      </c>
      <c r="U79" s="1">
        <f>F79*F$1</f>
        <v>0</v>
      </c>
      <c r="V79" s="1">
        <f>G79*G$1</f>
        <v>0</v>
      </c>
      <c r="W79" s="1">
        <f>H79*H$1</f>
        <v>0</v>
      </c>
      <c r="X79" s="1">
        <f>I79*I$1</f>
        <v>0</v>
      </c>
      <c r="Y79" s="1">
        <f>J79*J$1</f>
        <v>0</v>
      </c>
      <c r="Z79" s="1">
        <f>K79*K$1</f>
        <v>0</v>
      </c>
      <c r="AA79" s="1">
        <f>L79*L$1</f>
        <v>0</v>
      </c>
      <c r="AB79" s="1">
        <f>M79*M$1</f>
        <v>0</v>
      </c>
      <c r="AC79" s="1">
        <f>N79*N$1</f>
        <v>0</v>
      </c>
      <c r="AD79" s="1">
        <f>O79*O$1</f>
        <v>0</v>
      </c>
      <c r="AE79" s="1">
        <f>P79*P$1</f>
        <v>1507328</v>
      </c>
      <c r="AF79" s="1">
        <f>SUM(Q79:AE79)</f>
        <v>1507328</v>
      </c>
      <c r="AG79" s="1" t="str">
        <f>DEC2HEX(AF79)</f>
        <v>170000</v>
      </c>
    </row>
    <row r="80" spans="1:33" x14ac:dyDescent="0.4">
      <c r="A80" s="1" t="s">
        <v>99</v>
      </c>
      <c r="J80" s="1">
        <v>1</v>
      </c>
      <c r="P80" s="1">
        <v>24</v>
      </c>
      <c r="Q80" s="1">
        <f>B80*B$1</f>
        <v>0</v>
      </c>
      <c r="R80" s="1">
        <f>C80*C$1</f>
        <v>0</v>
      </c>
      <c r="S80" s="1">
        <f>D80*D$1</f>
        <v>0</v>
      </c>
      <c r="T80" s="1">
        <f>E80*E$1</f>
        <v>0</v>
      </c>
      <c r="U80" s="1">
        <f>F80*F$1</f>
        <v>0</v>
      </c>
      <c r="V80" s="1">
        <f>G80*G$1</f>
        <v>0</v>
      </c>
      <c r="W80" s="1">
        <f>H80*H$1</f>
        <v>0</v>
      </c>
      <c r="X80" s="1">
        <f>I80*I$1</f>
        <v>0</v>
      </c>
      <c r="Y80" s="1">
        <f>J80*J$1</f>
        <v>256</v>
      </c>
      <c r="Z80" s="1">
        <f>K80*K$1</f>
        <v>0</v>
      </c>
      <c r="AA80" s="1">
        <f>L80*L$1</f>
        <v>0</v>
      </c>
      <c r="AB80" s="1">
        <f>M80*M$1</f>
        <v>0</v>
      </c>
      <c r="AC80" s="1">
        <f>N80*N$1</f>
        <v>0</v>
      </c>
      <c r="AD80" s="1">
        <f>O80*O$1</f>
        <v>0</v>
      </c>
      <c r="AE80" s="1">
        <f>P80*P$1</f>
        <v>1572864</v>
      </c>
      <c r="AF80" s="1">
        <f>SUM(Q80:AE80)</f>
        <v>1573120</v>
      </c>
      <c r="AG80" s="1" t="str">
        <f>DEC2HEX(AF80)</f>
        <v>180100</v>
      </c>
    </row>
    <row r="81" spans="1:33" x14ac:dyDescent="0.4">
      <c r="A81" s="1" t="s">
        <v>78</v>
      </c>
      <c r="I81" s="1">
        <v>1</v>
      </c>
      <c r="P81" s="1">
        <v>24</v>
      </c>
      <c r="Q81" s="1">
        <f>B81*B$1</f>
        <v>0</v>
      </c>
      <c r="R81" s="1">
        <f>C81*C$1</f>
        <v>0</v>
      </c>
      <c r="S81" s="1">
        <f>D81*D$1</f>
        <v>0</v>
      </c>
      <c r="T81" s="1">
        <f>E81*E$1</f>
        <v>0</v>
      </c>
      <c r="U81" s="1">
        <f>F81*F$1</f>
        <v>0</v>
      </c>
      <c r="V81" s="1">
        <f>G81*G$1</f>
        <v>0</v>
      </c>
      <c r="W81" s="1">
        <f>H81*H$1</f>
        <v>0</v>
      </c>
      <c r="X81" s="1">
        <f>I81*I$1</f>
        <v>512</v>
      </c>
      <c r="Y81" s="1">
        <f>J81*J$1</f>
        <v>0</v>
      </c>
      <c r="Z81" s="1">
        <f>K81*K$1</f>
        <v>0</v>
      </c>
      <c r="AA81" s="1">
        <f>L81*L$1</f>
        <v>0</v>
      </c>
      <c r="AB81" s="1">
        <f>M81*M$1</f>
        <v>0</v>
      </c>
      <c r="AC81" s="1">
        <f>N81*N$1</f>
        <v>0</v>
      </c>
      <c r="AD81" s="1">
        <f>O81*O$1</f>
        <v>0</v>
      </c>
      <c r="AE81" s="1">
        <f>P81*P$1</f>
        <v>1572864</v>
      </c>
      <c r="AF81" s="1">
        <f>SUM(Q81:AE81)</f>
        <v>1573376</v>
      </c>
      <c r="AG81" s="1" t="str">
        <f>DEC2HEX(AF81)</f>
        <v>180200</v>
      </c>
    </row>
    <row r="82" spans="1:33" x14ac:dyDescent="0.4">
      <c r="A82" s="1" t="s">
        <v>86</v>
      </c>
      <c r="H82" s="1">
        <v>1</v>
      </c>
      <c r="J82" s="1">
        <v>1</v>
      </c>
      <c r="P82" s="1">
        <v>24</v>
      </c>
      <c r="Q82" s="1">
        <f>B82*B$1</f>
        <v>0</v>
      </c>
      <c r="R82" s="1">
        <f>C82*C$1</f>
        <v>0</v>
      </c>
      <c r="S82" s="1">
        <f>D82*D$1</f>
        <v>0</v>
      </c>
      <c r="T82" s="1">
        <f>E82*E$1</f>
        <v>0</v>
      </c>
      <c r="U82" s="1">
        <f>F82*F$1</f>
        <v>0</v>
      </c>
      <c r="V82" s="1">
        <f>G82*G$1</f>
        <v>0</v>
      </c>
      <c r="W82" s="1">
        <f>H82*H$1</f>
        <v>1024</v>
      </c>
      <c r="X82" s="1">
        <f>I82*I$1</f>
        <v>0</v>
      </c>
      <c r="Y82" s="1">
        <f>J82*J$1</f>
        <v>256</v>
      </c>
      <c r="Z82" s="1">
        <f>K82*K$1</f>
        <v>0</v>
      </c>
      <c r="AA82" s="1">
        <f>L82*L$1</f>
        <v>0</v>
      </c>
      <c r="AB82" s="1">
        <f>M82*M$1</f>
        <v>0</v>
      </c>
      <c r="AC82" s="1">
        <f>N82*N$1</f>
        <v>0</v>
      </c>
      <c r="AD82" s="1">
        <f>O82*O$1</f>
        <v>0</v>
      </c>
      <c r="AE82" s="1">
        <f>P82*P$1</f>
        <v>1572864</v>
      </c>
      <c r="AF82" s="1">
        <f>SUM(Q82:AE82)</f>
        <v>1574144</v>
      </c>
      <c r="AG82" s="1" t="str">
        <f>DEC2HEX(AF82)</f>
        <v>180500</v>
      </c>
    </row>
    <row r="83" spans="1:33" x14ac:dyDescent="0.4">
      <c r="A83" s="1" t="s">
        <v>90</v>
      </c>
      <c r="E83" s="1">
        <v>1</v>
      </c>
      <c r="P83" s="1">
        <v>25</v>
      </c>
      <c r="Q83" s="1">
        <f>B83*B$1</f>
        <v>0</v>
      </c>
      <c r="R83" s="1">
        <f>C83*C$1</f>
        <v>0</v>
      </c>
      <c r="S83" s="1">
        <f>D83*D$1</f>
        <v>0</v>
      </c>
      <c r="T83" s="1">
        <f>E83*E$1</f>
        <v>8192</v>
      </c>
      <c r="U83" s="1">
        <f>F83*F$1</f>
        <v>0</v>
      </c>
      <c r="V83" s="1">
        <f>G83*G$1</f>
        <v>0</v>
      </c>
      <c r="W83" s="1">
        <f>H83*H$1</f>
        <v>0</v>
      </c>
      <c r="X83" s="1">
        <f>I83*I$1</f>
        <v>0</v>
      </c>
      <c r="Y83" s="1">
        <f>J83*J$1</f>
        <v>0</v>
      </c>
      <c r="Z83" s="1">
        <f>K83*K$1</f>
        <v>0</v>
      </c>
      <c r="AA83" s="1">
        <f>L83*L$1</f>
        <v>0</v>
      </c>
      <c r="AB83" s="1">
        <f>M83*M$1</f>
        <v>0</v>
      </c>
      <c r="AC83" s="1">
        <f>N83*N$1</f>
        <v>0</v>
      </c>
      <c r="AD83" s="1">
        <f>O83*O$1</f>
        <v>0</v>
      </c>
      <c r="AE83" s="1">
        <f>P83*P$1</f>
        <v>1638400</v>
      </c>
      <c r="AF83" s="1">
        <f>SUM(Q83:AE83)</f>
        <v>1646592</v>
      </c>
      <c r="AG83" s="1" t="str">
        <f>DEC2HEX(AF83)</f>
        <v>192000</v>
      </c>
    </row>
    <row r="84" spans="1:33" x14ac:dyDescent="0.4">
      <c r="A84" s="1" t="s">
        <v>98</v>
      </c>
      <c r="B84" s="1">
        <v>1</v>
      </c>
      <c r="E84" s="1">
        <v>1</v>
      </c>
      <c r="P84" s="1">
        <v>25</v>
      </c>
      <c r="Q84" s="1">
        <f>B84*B$1</f>
        <v>1</v>
      </c>
      <c r="R84" s="1">
        <f>C84*C$1</f>
        <v>0</v>
      </c>
      <c r="S84" s="1">
        <f>D84*D$1</f>
        <v>0</v>
      </c>
      <c r="T84" s="1">
        <f>E84*E$1</f>
        <v>8192</v>
      </c>
      <c r="U84" s="1">
        <f>F84*F$1</f>
        <v>0</v>
      </c>
      <c r="V84" s="1">
        <f>G84*G$1</f>
        <v>0</v>
      </c>
      <c r="W84" s="1">
        <f>H84*H$1</f>
        <v>0</v>
      </c>
      <c r="X84" s="1">
        <f>I84*I$1</f>
        <v>0</v>
      </c>
      <c r="Y84" s="1">
        <f>J84*J$1</f>
        <v>0</v>
      </c>
      <c r="Z84" s="1">
        <f>K84*K$1</f>
        <v>0</v>
      </c>
      <c r="AA84" s="1">
        <f>L84*L$1</f>
        <v>0</v>
      </c>
      <c r="AB84" s="1">
        <f>M84*M$1</f>
        <v>0</v>
      </c>
      <c r="AC84" s="1">
        <f>N84*N$1</f>
        <v>0</v>
      </c>
      <c r="AD84" s="1">
        <f>O84*O$1</f>
        <v>0</v>
      </c>
      <c r="AE84" s="1">
        <f>P84*P$1</f>
        <v>1638400</v>
      </c>
      <c r="AF84" s="1">
        <f>SUM(Q84:AE84)</f>
        <v>1646593</v>
      </c>
      <c r="AG84" s="1" t="str">
        <f>DEC2HEX(AF84)</f>
        <v>192001</v>
      </c>
    </row>
    <row r="85" spans="1:33" x14ac:dyDescent="0.4">
      <c r="A85" s="1" t="s">
        <v>26</v>
      </c>
      <c r="P85" s="1">
        <v>26</v>
      </c>
      <c r="Q85" s="1">
        <f>B85*B$1</f>
        <v>0</v>
      </c>
      <c r="R85" s="1">
        <f>C85*C$1</f>
        <v>0</v>
      </c>
      <c r="S85" s="1">
        <f>D85*D$1</f>
        <v>0</v>
      </c>
      <c r="T85" s="1">
        <f>E85*E$1</f>
        <v>0</v>
      </c>
      <c r="U85" s="1">
        <f>F85*F$1</f>
        <v>0</v>
      </c>
      <c r="V85" s="1">
        <f>G85*G$1</f>
        <v>0</v>
      </c>
      <c r="W85" s="1">
        <f>H85*H$1</f>
        <v>0</v>
      </c>
      <c r="X85" s="1">
        <f>I85*I$1</f>
        <v>0</v>
      </c>
      <c r="Y85" s="1">
        <f>J85*J$1</f>
        <v>0</v>
      </c>
      <c r="Z85" s="1">
        <f>K85*K$1</f>
        <v>0</v>
      </c>
      <c r="AA85" s="1">
        <f>L85*L$1</f>
        <v>0</v>
      </c>
      <c r="AB85" s="1">
        <f>M85*M$1</f>
        <v>0</v>
      </c>
      <c r="AC85" s="1">
        <f>N85*N$1</f>
        <v>0</v>
      </c>
      <c r="AD85" s="1">
        <f>O85*O$1</f>
        <v>0</v>
      </c>
      <c r="AE85" s="1">
        <f>P85*P$1</f>
        <v>1703936</v>
      </c>
      <c r="AF85" s="1">
        <f>SUM(Q85:AE85)</f>
        <v>1703936</v>
      </c>
      <c r="AG85" s="1" t="str">
        <f>DEC2HEX(AF85)</f>
        <v>1A0000</v>
      </c>
    </row>
    <row r="86" spans="1:33" x14ac:dyDescent="0.4">
      <c r="A86" s="2" t="s">
        <v>10</v>
      </c>
      <c r="B86" s="2"/>
      <c r="C86" s="2"/>
      <c r="D86" s="2"/>
      <c r="E86" s="2"/>
      <c r="F86" s="2"/>
      <c r="G86" s="2"/>
      <c r="H86" s="2">
        <v>1</v>
      </c>
      <c r="I86" s="2"/>
      <c r="J86" s="2"/>
      <c r="K86" s="2"/>
      <c r="L86" s="2"/>
      <c r="M86" s="2">
        <v>1</v>
      </c>
      <c r="N86" s="2"/>
      <c r="O86" s="2"/>
      <c r="P86" s="2">
        <v>27</v>
      </c>
      <c r="Q86" s="2">
        <f>B86*B$1</f>
        <v>0</v>
      </c>
      <c r="R86" s="2">
        <f>C86*C$1</f>
        <v>0</v>
      </c>
      <c r="S86" s="2">
        <f>D86*D$1</f>
        <v>0</v>
      </c>
      <c r="T86" s="2">
        <f>E86*E$1</f>
        <v>0</v>
      </c>
      <c r="U86" s="2">
        <f>F86*F$1</f>
        <v>0</v>
      </c>
      <c r="V86" s="2">
        <f>G86*G$1</f>
        <v>0</v>
      </c>
      <c r="W86" s="2">
        <f>H86*H$1</f>
        <v>1024</v>
      </c>
      <c r="X86" s="2">
        <f>I86*I$1</f>
        <v>0</v>
      </c>
      <c r="Y86" s="2">
        <f>J86*J$1</f>
        <v>0</v>
      </c>
      <c r="Z86" s="2">
        <f>K86*K$1</f>
        <v>0</v>
      </c>
      <c r="AA86" s="2">
        <f>L86*L$1</f>
        <v>0</v>
      </c>
      <c r="AB86" s="2">
        <f>M86*M$1</f>
        <v>32</v>
      </c>
      <c r="AC86" s="2">
        <f>N86*N$1</f>
        <v>0</v>
      </c>
      <c r="AD86" s="2">
        <f>O86*O$1</f>
        <v>0</v>
      </c>
      <c r="AE86" s="2">
        <f>P86*P$1</f>
        <v>1769472</v>
      </c>
      <c r="AF86" s="2">
        <f>SUM(Q86:AE86)</f>
        <v>1770528</v>
      </c>
      <c r="AG86" s="2" t="str">
        <f>DEC2HEX(AF86)</f>
        <v>1B0420</v>
      </c>
    </row>
    <row r="87" spans="1:33" x14ac:dyDescent="0.4">
      <c r="A87" s="1" t="s">
        <v>96</v>
      </c>
      <c r="K87" s="1">
        <v>1</v>
      </c>
      <c r="P87" s="1">
        <v>28</v>
      </c>
      <c r="Q87" s="1">
        <f>B87*B$1</f>
        <v>0</v>
      </c>
      <c r="R87" s="1">
        <f>C87*C$1</f>
        <v>0</v>
      </c>
      <c r="S87" s="1">
        <f>D87*D$1</f>
        <v>0</v>
      </c>
      <c r="T87" s="1">
        <f>E87*E$1</f>
        <v>0</v>
      </c>
      <c r="U87" s="1">
        <f>F87*F$1</f>
        <v>0</v>
      </c>
      <c r="V87" s="1">
        <f>G87*G$1</f>
        <v>0</v>
      </c>
      <c r="W87" s="1">
        <f>H87*H$1</f>
        <v>0</v>
      </c>
      <c r="X87" s="1">
        <f>I87*I$1</f>
        <v>0</v>
      </c>
      <c r="Y87" s="1">
        <f>J87*J$1</f>
        <v>0</v>
      </c>
      <c r="Z87" s="1">
        <f>K87*K$1</f>
        <v>128</v>
      </c>
      <c r="AA87" s="1">
        <f>L87*L$1</f>
        <v>0</v>
      </c>
      <c r="AB87" s="1">
        <f>M87*M$1</f>
        <v>0</v>
      </c>
      <c r="AC87" s="1">
        <f>N87*N$1</f>
        <v>0</v>
      </c>
      <c r="AD87" s="1">
        <f>O87*O$1</f>
        <v>0</v>
      </c>
      <c r="AE87" s="1">
        <f>P87*P$1</f>
        <v>1835008</v>
      </c>
      <c r="AF87" s="1">
        <f>SUM(Q87:AE87)</f>
        <v>1835136</v>
      </c>
      <c r="AG87" s="1" t="str">
        <f>DEC2HEX(AF87)</f>
        <v>1C0080</v>
      </c>
    </row>
    <row r="88" spans="1:33" x14ac:dyDescent="0.4">
      <c r="A88" s="1" t="s">
        <v>20</v>
      </c>
      <c r="H88" s="1">
        <v>1</v>
      </c>
      <c r="J88" s="1">
        <v>1</v>
      </c>
      <c r="P88" s="1">
        <v>28</v>
      </c>
      <c r="Q88" s="1">
        <f>B88*B$1</f>
        <v>0</v>
      </c>
      <c r="R88" s="1">
        <f>C88*C$1</f>
        <v>0</v>
      </c>
      <c r="S88" s="1">
        <f>D88*D$1</f>
        <v>0</v>
      </c>
      <c r="T88" s="1">
        <f>E88*E$1</f>
        <v>0</v>
      </c>
      <c r="U88" s="1">
        <f>F88*F$1</f>
        <v>0</v>
      </c>
      <c r="V88" s="1">
        <f>G88*G$1</f>
        <v>0</v>
      </c>
      <c r="W88" s="1">
        <f>H88*H$1</f>
        <v>1024</v>
      </c>
      <c r="X88" s="1">
        <f>I88*I$1</f>
        <v>0</v>
      </c>
      <c r="Y88" s="1">
        <f>J88*J$1</f>
        <v>256</v>
      </c>
      <c r="Z88" s="1">
        <f>K88*K$1</f>
        <v>0</v>
      </c>
      <c r="AA88" s="1">
        <f>L88*L$1</f>
        <v>0</v>
      </c>
      <c r="AB88" s="1">
        <f>M88*M$1</f>
        <v>0</v>
      </c>
      <c r="AC88" s="1">
        <f>N88*N$1</f>
        <v>0</v>
      </c>
      <c r="AD88" s="1">
        <f>O88*O$1</f>
        <v>0</v>
      </c>
      <c r="AE88" s="1">
        <f>P88*P$1</f>
        <v>1835008</v>
      </c>
      <c r="AF88" s="1">
        <f>SUM(Q88:AE88)</f>
        <v>1836288</v>
      </c>
      <c r="AG88" s="1" t="str">
        <f>DEC2HEX(AF88)</f>
        <v>1C0500</v>
      </c>
    </row>
    <row r="89" spans="1:33" x14ac:dyDescent="0.4">
      <c r="A89" s="1" t="s">
        <v>103</v>
      </c>
      <c r="B89" s="1">
        <v>1</v>
      </c>
      <c r="P89" s="1">
        <v>29</v>
      </c>
      <c r="Q89" s="1">
        <f>B89*B$1</f>
        <v>1</v>
      </c>
      <c r="R89" s="1">
        <f>C89*C$1</f>
        <v>0</v>
      </c>
      <c r="S89" s="1">
        <f>D89*D$1</f>
        <v>0</v>
      </c>
      <c r="T89" s="1">
        <f>E89*E$1</f>
        <v>0</v>
      </c>
      <c r="U89" s="1">
        <f>F89*F$1</f>
        <v>0</v>
      </c>
      <c r="V89" s="1">
        <f>G89*G$1</f>
        <v>0</v>
      </c>
      <c r="W89" s="1">
        <f>H89*H$1</f>
        <v>0</v>
      </c>
      <c r="X89" s="1">
        <f>I89*I$1</f>
        <v>0</v>
      </c>
      <c r="Y89" s="1">
        <f>J89*J$1</f>
        <v>0</v>
      </c>
      <c r="Z89" s="1">
        <f>K89*K$1</f>
        <v>0</v>
      </c>
      <c r="AA89" s="1">
        <f>L89*L$1</f>
        <v>0</v>
      </c>
      <c r="AB89" s="1">
        <f>M89*M$1</f>
        <v>0</v>
      </c>
      <c r="AC89" s="1">
        <f>N89*N$1</f>
        <v>0</v>
      </c>
      <c r="AD89" s="1">
        <f>O89*O$1</f>
        <v>0</v>
      </c>
      <c r="AE89" s="1">
        <f>P89*P$1</f>
        <v>1900544</v>
      </c>
      <c r="AF89" s="1">
        <f>SUM(Q89:AE89)</f>
        <v>1900545</v>
      </c>
      <c r="AG89" s="1" t="str">
        <f>DEC2HEX(AF89)</f>
        <v>1D0001</v>
      </c>
    </row>
    <row r="90" spans="1:33" x14ac:dyDescent="0.4">
      <c r="A90" s="1" t="s">
        <v>50</v>
      </c>
      <c r="B90" s="1">
        <v>2</v>
      </c>
      <c r="P90" s="1">
        <v>29</v>
      </c>
      <c r="Q90" s="1">
        <f>B90*B$1</f>
        <v>2</v>
      </c>
      <c r="R90" s="1">
        <f>C90*C$1</f>
        <v>0</v>
      </c>
      <c r="S90" s="1">
        <f>D90*D$1</f>
        <v>0</v>
      </c>
      <c r="T90" s="1">
        <f>E90*E$1</f>
        <v>0</v>
      </c>
      <c r="U90" s="1">
        <f>F90*F$1</f>
        <v>0</v>
      </c>
      <c r="V90" s="1">
        <f>G90*G$1</f>
        <v>0</v>
      </c>
      <c r="W90" s="1">
        <f>H90*H$1</f>
        <v>0</v>
      </c>
      <c r="X90" s="1">
        <f>I90*I$1</f>
        <v>0</v>
      </c>
      <c r="Y90" s="1">
        <f>J90*J$1</f>
        <v>0</v>
      </c>
      <c r="Z90" s="1">
        <f>K90*K$1</f>
        <v>0</v>
      </c>
      <c r="AA90" s="1">
        <f>L90*L$1</f>
        <v>0</v>
      </c>
      <c r="AB90" s="1">
        <f>M90*M$1</f>
        <v>0</v>
      </c>
      <c r="AC90" s="1">
        <f>N90*N$1</f>
        <v>0</v>
      </c>
      <c r="AD90" s="1">
        <f>O90*O$1</f>
        <v>0</v>
      </c>
      <c r="AE90" s="1">
        <f>P90*P$1</f>
        <v>1900544</v>
      </c>
      <c r="AF90" s="1">
        <f>SUM(Q90:AE90)</f>
        <v>1900546</v>
      </c>
      <c r="AG90" s="1" t="str">
        <f>DEC2HEX(AF90)</f>
        <v>1D0002</v>
      </c>
    </row>
    <row r="91" spans="1:33" x14ac:dyDescent="0.4">
      <c r="A91" s="1" t="s">
        <v>51</v>
      </c>
      <c r="B91" s="1">
        <v>3</v>
      </c>
      <c r="P91" s="1">
        <v>29</v>
      </c>
      <c r="Q91" s="1">
        <f>B91*B$1</f>
        <v>3</v>
      </c>
      <c r="R91" s="1">
        <f>C91*C$1</f>
        <v>0</v>
      </c>
      <c r="S91" s="1">
        <f>D91*D$1</f>
        <v>0</v>
      </c>
      <c r="T91" s="1">
        <f>E91*E$1</f>
        <v>0</v>
      </c>
      <c r="U91" s="1">
        <f>F91*F$1</f>
        <v>0</v>
      </c>
      <c r="V91" s="1">
        <f>G91*G$1</f>
        <v>0</v>
      </c>
      <c r="W91" s="1">
        <f>H91*H$1</f>
        <v>0</v>
      </c>
      <c r="X91" s="1">
        <f>I91*I$1</f>
        <v>0</v>
      </c>
      <c r="Y91" s="1">
        <f>J91*J$1</f>
        <v>0</v>
      </c>
      <c r="Z91" s="1">
        <f>K91*K$1</f>
        <v>0</v>
      </c>
      <c r="AA91" s="1">
        <f>L91*L$1</f>
        <v>0</v>
      </c>
      <c r="AB91" s="1">
        <f>M91*M$1</f>
        <v>0</v>
      </c>
      <c r="AC91" s="1">
        <f>N91*N$1</f>
        <v>0</v>
      </c>
      <c r="AD91" s="1">
        <f>O91*O$1</f>
        <v>0</v>
      </c>
      <c r="AE91" s="1">
        <f>P91*P$1</f>
        <v>1900544</v>
      </c>
      <c r="AF91" s="1">
        <f>SUM(Q91:AE91)</f>
        <v>1900547</v>
      </c>
      <c r="AG91" s="1" t="str">
        <f>DEC2HEX(AF91)</f>
        <v>1D0003</v>
      </c>
    </row>
    <row r="92" spans="1:33" x14ac:dyDescent="0.4">
      <c r="A92" s="1" t="s">
        <v>91</v>
      </c>
      <c r="E92" s="1">
        <v>1</v>
      </c>
      <c r="P92" s="1">
        <v>30</v>
      </c>
      <c r="Q92" s="1">
        <f>B92*B$1</f>
        <v>0</v>
      </c>
      <c r="R92" s="1">
        <f>C92*C$1</f>
        <v>0</v>
      </c>
      <c r="S92" s="1">
        <f>D92*D$1</f>
        <v>0</v>
      </c>
      <c r="T92" s="1">
        <f>E92*E$1</f>
        <v>8192</v>
      </c>
      <c r="U92" s="1">
        <f>F92*F$1</f>
        <v>0</v>
      </c>
      <c r="V92" s="1">
        <f>G92*G$1</f>
        <v>0</v>
      </c>
      <c r="W92" s="1">
        <f>H92*H$1</f>
        <v>0</v>
      </c>
      <c r="X92" s="1">
        <f>I92*I$1</f>
        <v>0</v>
      </c>
      <c r="Y92" s="1">
        <f>J92*J$1</f>
        <v>0</v>
      </c>
      <c r="Z92" s="1">
        <f>K92*K$1</f>
        <v>0</v>
      </c>
      <c r="AA92" s="1">
        <f>L92*L$1</f>
        <v>0</v>
      </c>
      <c r="AB92" s="1">
        <f>M92*M$1</f>
        <v>0</v>
      </c>
      <c r="AC92" s="1">
        <f>N92*N$1</f>
        <v>0</v>
      </c>
      <c r="AD92" s="1">
        <f>O92*O$1</f>
        <v>0</v>
      </c>
      <c r="AE92" s="1">
        <f>P92*P$1</f>
        <v>1966080</v>
      </c>
      <c r="AF92" s="1">
        <f>SUM(Q92:AE92)</f>
        <v>1974272</v>
      </c>
      <c r="AG92" s="1" t="str">
        <f>DEC2HEX(AF92)</f>
        <v>1E2000</v>
      </c>
    </row>
    <row r="93" spans="1:33" x14ac:dyDescent="0.4">
      <c r="A93" s="1" t="s">
        <v>92</v>
      </c>
      <c r="P93" s="1">
        <v>31</v>
      </c>
      <c r="Q93" s="1">
        <f>B93*B$1</f>
        <v>0</v>
      </c>
      <c r="R93" s="1">
        <f>C93*C$1</f>
        <v>0</v>
      </c>
      <c r="S93" s="1">
        <f>D93*D$1</f>
        <v>0</v>
      </c>
      <c r="T93" s="1">
        <f>E93*E$1</f>
        <v>0</v>
      </c>
      <c r="U93" s="1">
        <f>F93*F$1</f>
        <v>0</v>
      </c>
      <c r="V93" s="1">
        <f>G93*G$1</f>
        <v>0</v>
      </c>
      <c r="W93" s="1">
        <f>H93*H$1</f>
        <v>0</v>
      </c>
      <c r="X93" s="1">
        <f>I93*I$1</f>
        <v>0</v>
      </c>
      <c r="Y93" s="1">
        <f>J93*J$1</f>
        <v>0</v>
      </c>
      <c r="Z93" s="1">
        <f>K93*K$1</f>
        <v>0</v>
      </c>
      <c r="AA93" s="1">
        <f>L93*L$1</f>
        <v>0</v>
      </c>
      <c r="AB93" s="1">
        <f>M93*M$1</f>
        <v>0</v>
      </c>
      <c r="AC93" s="1">
        <f>N93*N$1</f>
        <v>0</v>
      </c>
      <c r="AD93" s="1">
        <f>O93*O$1</f>
        <v>0</v>
      </c>
      <c r="AE93" s="1">
        <f>P93*P$1</f>
        <v>2031616</v>
      </c>
      <c r="AF93" s="1">
        <f>SUM(Q93:AE93)</f>
        <v>2031616</v>
      </c>
      <c r="AG93" s="1" t="str">
        <f>DEC2HEX(AF93)</f>
        <v>1F0000</v>
      </c>
    </row>
  </sheetData>
  <autoFilter ref="A2:AG93" xr:uid="{DA935775-8D1E-4973-8D66-2775D912B1F8}">
    <sortState xmlns:xlrd2="http://schemas.microsoft.com/office/spreadsheetml/2017/richdata2" ref="A3:AG93">
      <sortCondition ref="AF2:AF93"/>
    </sortState>
  </autoFilter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Micheal Johnson</dc:creator>
  <cp:lastModifiedBy>Micheal Johnson</cp:lastModifiedBy>
  <dcterms:created xsi:type="dcterms:W3CDTF">2023-10-09T09:47:43Z</dcterms:created>
  <dcterms:modified xsi:type="dcterms:W3CDTF">2025-10-07T09:49:42Z</dcterms:modified>
</cp:coreProperties>
</file>